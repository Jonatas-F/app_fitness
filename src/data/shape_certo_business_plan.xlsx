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7"/>
  </bookViews>
  <sheets>
    <sheet sheetId="1" name="Assumptions" state="visible" r:id="rId4"/>
    <sheet sheetId="2" name="Token_Costs" state="visible" r:id="rId5"/>
    <sheet sheetId="3" name="Infra_Costs" state="visible" r:id="rId6"/>
    <sheet sheetId="4" name="Stripe_Costs" state="visible" r:id="rId7"/>
    <sheet sheetId="5" name="Unit_Economics" state="visible" r:id="rId8"/>
    <sheet sheetId="6" name="Revenue_Projection" state="visible" r:id="rId9"/>
    <sheet sheetId="7" name="Recalc_Guide" state="visible" r:id="rId10"/>
    <sheet sheetId="8" name="Summary_Dashboard" state="visible" r:id="rId11"/>
  </sheets>
  <calcPr calcId="171027"/>
</workbook>
</file>

<file path=xl/sharedStrings.xml><?xml version="1.0" encoding="utf-8"?>
<sst xmlns="http://schemas.openxmlformats.org/spreadsheetml/2006/main" count="585" uniqueCount="327">
  <si>
    <t>SHAPE CERTO — ASSUMPTIONS (Plano de Negócios SaaS)</t>
  </si>
  <si>
    <t>Última atualização: Mai 2026  |  Câmbio: USD 1 = BRL na célula B5  |  AZUL = inputs editáveis  |  PRETO = fórmulas</t>
  </si>
  <si>
    <t>A. MACRO &amp; CÂMBIO</t>
  </si>
  <si>
    <t>Parâmetro</t>
  </si>
  <si>
    <t>Valor</t>
  </si>
  <si>
    <t>Fonte / Nota</t>
  </si>
  <si>
    <t>Câmbio USD → BRL (atual)</t>
  </si>
  <si>
    <t>Referência Mai 2026 — atualizar mensalmente</t>
  </si>
  <si>
    <t>Câmbio mês anterior (USD → BRL)</t>
  </si>
  <si>
    <t>Copiar câmbio atual antes de atualizar B5</t>
  </si>
  <si>
    <t>Variação câmbio (%)</t>
  </si>
  <si>
    <t>Calculado automaticamente</t>
  </si>
  <si>
    <t>B. OPENAI API — PREÇOS (USD por 1 M tokens)</t>
  </si>
  <si>
    <t>Modelo</t>
  </si>
  <si>
    <t>Preço USD/1M tk</t>
  </si>
  <si>
    <t>Nota</t>
  </si>
  <si>
    <t>GPT-4o-mini — Input</t>
  </si>
  <si>
    <t>Preço atual Mai 2026 — openai.com/pricing</t>
  </si>
  <si>
    <t>GPT-4o-mini — Output</t>
  </si>
  <si>
    <t>C. STRIPE — TAXAS</t>
  </si>
  <si>
    <t>Taxa percentual Brasil (%)</t>
  </si>
  <si>
    <t>3.99% — cartão nacional BR</t>
  </si>
  <si>
    <t>Taxa fixa Brasil (R$)</t>
  </si>
  <si>
    <t>R$0.39 por transação</t>
  </si>
  <si>
    <t>Taxa percentual Intl (%)</t>
  </si>
  <si>
    <t>2.9% — cartão internacional</t>
  </si>
  <si>
    <t>Taxa fixa Internacional ($)</t>
  </si>
  <si>
    <t>$0.30 por transação</t>
  </si>
  <si>
    <t>D. INFRAESTRUTURA — CUSTOS FIXOS MENSAIS (USD)</t>
  </si>
  <si>
    <t>Componente</t>
  </si>
  <si>
    <t>USD/mês</t>
  </si>
  <si>
    <t>Servidor VPS/Cloud</t>
  </si>
  <si>
    <t>Mid-range VPS — escala até ~500 usuários</t>
  </si>
  <si>
    <t>Banco de dados Postgres</t>
  </si>
  <si>
    <t>Managed Postgres</t>
  </si>
  <si>
    <t>Storage S3 base (USD)</t>
  </si>
  <si>
    <t>~200 GB base de fotos</t>
  </si>
  <si>
    <t>S3 custo por GB extra ($)</t>
  </si>
  <si>
    <t>USD/GB além da base</t>
  </si>
  <si>
    <t>CDN / Bandwidth</t>
  </si>
  <si>
    <t>Estimativa transferência</t>
  </si>
  <si>
    <t>Monitoring / Logs</t>
  </si>
  <si>
    <t>Datadog ou similar — básico</t>
  </si>
  <si>
    <t>TOTAL INFRA FIXO BASE/MÊS (USD)</t>
  </si>
  <si>
    <t>Base — escala com mais servidores</t>
  </si>
  <si>
    <t>D2. STORAGE POR USUÁRIO (fotos — GB/mês estimado)</t>
  </si>
  <si>
    <t>Plano</t>
  </si>
  <si>
    <t>GB/usuário/mês</t>
  </si>
  <si>
    <t>Básico (2 fotos/semana, ~0.5MB)</t>
  </si>
  <si>
    <t>~8 fotos × 0.5MB = 4MB/mês</t>
  </si>
  <si>
    <t>Intermediário (6 fotos/check-in semanal)</t>
  </si>
  <si>
    <t>~24 fotos × 0.5MB = 12MB/mês</t>
  </si>
  <si>
    <t>Pro (ilimitado — estimativa 40 fotos/mês)</t>
  </si>
  <si>
    <t>~40 fotos × 0.5MB = 20MB/mês</t>
  </si>
  <si>
    <t>E. TOKENS INPUT POR MENSAGEM DE CHAT (contexto)</t>
  </si>
  <si>
    <t>Tokens Input/msg</t>
  </si>
  <si>
    <t>Básico — contexto comprimido</t>
  </si>
  <si>
    <t>Perfil básico por msg</t>
  </si>
  <si>
    <t>Intermediário — contexto médio</t>
  </si>
  <si>
    <t>Histórico + medidas corporais</t>
  </si>
  <si>
    <t>Pro — contexto completo</t>
  </si>
  <si>
    <t>Histórico completo + bioimpedância</t>
  </si>
  <si>
    <t>E2. OUTPUT MÉDIO POR RESPOSTA DO CHAT (tokens)</t>
  </si>
  <si>
    <t>Tokens Output/msg</t>
  </si>
  <si>
    <t>Básico</t>
  </si>
  <si>
    <t>Respostas curtas / simples</t>
  </si>
  <si>
    <t>Intermediário</t>
  </si>
  <si>
    <t>Respostas moderadas</t>
  </si>
  <si>
    <t>Pro</t>
  </si>
  <si>
    <t>Respostas detalhadas / insights</t>
  </si>
  <si>
    <t>E3. TOKENS POR GERAÇÃO IA (dieta + treino — por geração)</t>
  </si>
  <si>
    <t>Input/geração</t>
  </si>
  <si>
    <t>Output/geração</t>
  </si>
  <si>
    <t>Geração simples dieta/treino</t>
  </si>
  <si>
    <t>Geração elaborada com histórico</t>
  </si>
  <si>
    <t>Geração completa com contexto total</t>
  </si>
  <si>
    <t>E4. FREQUÊNCIA DE USO — MSGS CHAT/DIA (por cenário)</t>
  </si>
  <si>
    <t>Conservador (msgs/dia)</t>
  </si>
  <si>
    <t>Moderado (msgs/dia)</t>
  </si>
  <si>
    <t>Usuário casual → usuário ativo</t>
  </si>
  <si>
    <t>Usuário regular → usuário engajado</t>
  </si>
  <si>
    <t>Usuário frequente → power user</t>
  </si>
  <si>
    <t>E5. GERAÇÕES IA POR MÊS (dieta + treino combinadas)</t>
  </si>
  <si>
    <t>Conservador (ger/mês)</t>
  </si>
  <si>
    <t>Moderado (ger/mês)</t>
  </si>
  <si>
    <t>2 gerações = 1 dieta + 1 treino mensal</t>
  </si>
  <si>
    <t>Ajustes semanais</t>
  </si>
  <si>
    <t>Regenerações frequentes</t>
  </si>
  <si>
    <t>F. MARGEM ALVO &amp; PRECIFICAÇÃO</t>
  </si>
  <si>
    <t>Margem bruta alvo mínima (%)</t>
  </si>
  <si>
    <t>65% = piso aceitável</t>
  </si>
  <si>
    <t>Margem bruta alvo máxima (%)</t>
  </si>
  <si>
    <t>75% = ideal</t>
  </si>
  <si>
    <t>Desconto plano anual (%)</t>
  </si>
  <si>
    <t>20% off vs mensal × 12</t>
  </si>
  <si>
    <t>Escala de referência (usuários)</t>
  </si>
  <si>
    <t>Para cálculo infra/usuário em Unit_Economics</t>
  </si>
  <si>
    <t>CUSTOS DE TOKENS — OpenAI GPT-4o-mini por Usuário/Mês</t>
  </si>
  <si>
    <t>Azul = inputs  |  Preto = fórmulas linkadas de Assumptions  |  Colunas C-D = valores token  |  E-H = custos USD e BRL</t>
  </si>
  <si>
    <t>PLANO BÁSICO</t>
  </si>
  <si>
    <t>Métrica</t>
  </si>
  <si>
    <t>Driver / Fórmula</t>
  </si>
  <si>
    <t>Conservador (qtd)</t>
  </si>
  <si>
    <t>Moderado (qtd)</t>
  </si>
  <si>
    <t>Cons. Custo USD</t>
  </si>
  <si>
    <t>Mod. Custo USD</t>
  </si>
  <si>
    <t>Cons. Custo BRL</t>
  </si>
  <si>
    <t>Mod. Custo BRL</t>
  </si>
  <si>
    <t>Dias no mês</t>
  </si>
  <si>
    <t>Fixo = 30 dias</t>
  </si>
  <si>
    <t>—</t>
  </si>
  <si>
    <t>Mensagens/dia (chat)</t>
  </si>
  <si>
    <t>Assumptions E4 — linha 56</t>
  </si>
  <si>
    <t>Total mensagens/mês</t>
  </si>
  <si>
    <t>= msgs/dia × 30</t>
  </si>
  <si>
    <t>Tokens input/msg (contexto comprimido)</t>
  </si>
  <si>
    <t>Assumptions E — linha 38</t>
  </si>
  <si>
    <t>Tokens output/resposta</t>
  </si>
  <si>
    <t>Assumptions E2 — linha 44</t>
  </si>
  <si>
    <t>Gerações IA (dieta+treino) por mês</t>
  </si>
  <si>
    <t>Assumptions E5 — linha 62</t>
  </si>
  <si>
    <t>Tokens input por geração IA</t>
  </si>
  <si>
    <t>Assumptions E3 — linha 50</t>
  </si>
  <si>
    <t>Tokens output por geração IA</t>
  </si>
  <si>
    <t>Assumptions E3 col C — linha 50</t>
  </si>
  <si>
    <t>TOTAL tokens input/mês</t>
  </si>
  <si>
    <t>= msgs×ctx_input + gerações×tok_in_ger</t>
  </si>
  <si>
    <t>TOTAL tokens output/mês</t>
  </si>
  <si>
    <t>= msgs×tok_output + gerações×tok_out_ger</t>
  </si>
  <si>
    <t>CUSTO OPENAI TOTAL (USD e BRL/usuário/mês)</t>
  </si>
  <si>
    <t>= custo_input + custo_output</t>
  </si>
  <si>
    <t>PLANO INTERMEDIÁRIO</t>
  </si>
  <si>
    <t>Assumptions E4 — linha 57</t>
  </si>
  <si>
    <t>Assumptions E — linha 39</t>
  </si>
  <si>
    <t>Assumptions E2 — linha 45</t>
  </si>
  <si>
    <t>Assumptions E5 — linha 63</t>
  </si>
  <si>
    <t>Assumptions E3 — linha 51</t>
  </si>
  <si>
    <t>Assumptions E3 col C — linha 51</t>
  </si>
  <si>
    <t>PLANO PRO</t>
  </si>
  <si>
    <t>Assumptions E4 — linha 58</t>
  </si>
  <si>
    <t>Assumptions E — linha 40</t>
  </si>
  <si>
    <t>Assumptions E2 — linha 46</t>
  </si>
  <si>
    <t>Assumptions E5 — linha 64</t>
  </si>
  <si>
    <t>Assumptions E3 — linha 52</t>
  </si>
  <si>
    <t>Assumptions E3 col C — linha 52</t>
  </si>
  <si>
    <t>CUSTOS DE INFRAESTRUTURA por Usuário/Mês em Diferentes Escalas</t>
  </si>
  <si>
    <t>Custos fixos de Assumptions. S3 escala com número de usuários e mix de planos.</t>
  </si>
  <si>
    <t>CUSTO INFRA MENSAL TOTAL (USD) — por escala de usuários</t>
  </si>
  <si>
    <t>100 Usuários</t>
  </si>
  <si>
    <t>500 Usuários</t>
  </si>
  <si>
    <t>1.000 Usuários</t>
  </si>
  <si>
    <t>2.000 Usuários</t>
  </si>
  <si>
    <t>Servidor / VPS (escala c/ mais instâncias)</t>
  </si>
  <si>
    <t>Storage S3 (base + fotos por usuários — mix 50/35/15)</t>
  </si>
  <si>
    <t>TOTAL INFRA MENSAL (USD)</t>
  </si>
  <si>
    <t>CUSTO INFRA POR USUÁRIO/MÊS — por escala</t>
  </si>
  <si>
    <t>Custo infra/usuário (USD)</t>
  </si>
  <si>
    <t>Custo infra/usuário (BRL)</t>
  </si>
  <si>
    <t>CUSTO STORAGE S3 POR USUÁRIO/MÊS (USD) — por plano</t>
  </si>
  <si>
    <t>GB/usuário</t>
  </si>
  <si>
    <t>USD/usuário/mês</t>
  </si>
  <si>
    <t>BRL/usuário/mês</t>
  </si>
  <si>
    <t>CUSTOS STRIPE por Usuário/Mês — Cartão Nacional (Brasil)</t>
  </si>
  <si>
    <t>1 transação/mês por usuário (assinatura recorrente). Taxas: Assumptions C.</t>
  </si>
  <si>
    <t>PLANO MENSAL — Stripe Brasil (3.99% + R$0.39)</t>
  </si>
  <si>
    <t>Preço Mensal (BRL)</t>
  </si>
  <si>
    <t>Taxa % (R$)</t>
  </si>
  <si>
    <t>Taxa Fixa (R$)</t>
  </si>
  <si>
    <t>Total Stripe (R$)</t>
  </si>
  <si>
    <t>% do Preço</t>
  </si>
  <si>
    <t>Receita Líq. (R$)</t>
  </si>
  <si>
    <t>PLANO ANUAL — Stripe Brasil (1 transação/ano × preço anual com 20% off)</t>
  </si>
  <si>
    <t>Preço Anual (BRL)</t>
  </si>
  <si>
    <t>Total Stripe/ano (R$)</t>
  </si>
  <si>
    <t>Equiv./mês (R$)</t>
  </si>
  <si>
    <t>% equiv. mensal</t>
  </si>
  <si>
    <t>UNIT ECONOMICS — Custo Total, Preço Sugerido e Margens por Plano</t>
  </si>
  <si>
    <t>Cenário MODERADO (pior caso para precificação). Infra calculada na escala de referência (Assumptions F B71 = 1.000 usuários).</t>
  </si>
  <si>
    <t>COST BUILD-UP — CENÁRIO MODERADO (por usuário/mês)</t>
  </si>
  <si>
    <t>Componente de Custo</t>
  </si>
  <si>
    <t>Básico (USD)</t>
  </si>
  <si>
    <t>Básico (BRL)</t>
  </si>
  <si>
    <t>Intermediário (USD)</t>
  </si>
  <si>
    <t>Intermediário (BRL)</t>
  </si>
  <si>
    <t>Pro (USD)</t>
  </si>
  <si>
    <t>Pro (BRL)</t>
  </si>
  <si>
    <t>Custo OpenAI (chat + gerações IA)</t>
  </si>
  <si>
    <t>Col D de Token_Costs = cenário moderado</t>
  </si>
  <si>
    <t>Custo Infra/usuário (ref. 1.000 users)</t>
  </si>
  <si>
    <t>Infra_Costs!D14 = USD/user @ 1.000 users. Altere escala em Assumptions B71.</t>
  </si>
  <si>
    <t>Custo Storage S3/usuário (por plano)</t>
  </si>
  <si>
    <t>Infra_Costs col C linhas 19-21 (USD/user)</t>
  </si>
  <si>
    <t>Custo Stripe (1 cobrança/mês — taxa sobre preço final)</t>
  </si>
  <si>
    <t>Stripe_Costs!E5:E7 = total taxa mensal (BRL)</t>
  </si>
  <si>
    <t>CUSTO TOTAL / USUÁRIO / MÊS</t>
  </si>
  <si>
    <t>OpenAI + Infra + Storage + Stripe</t>
  </si>
  <si>
    <t>PRECIFICAÇÃO SUGERIDA — Mensal e Anual (BRL e USD)</t>
  </si>
  <si>
    <t>Básico BRL</t>
  </si>
  <si>
    <t>Básico USD</t>
  </si>
  <si>
    <t>Intermediário BRL</t>
  </si>
  <si>
    <t>Intermediário USD</t>
  </si>
  <si>
    <t>Pro BRL</t>
  </si>
  <si>
    <t>Pro USD</t>
  </si>
  <si>
    <t>Preço mensal sugerido — INPUT (BRL)</t>
  </si>
  <si>
    <t>AMARELO = input editável. Ajuste para ver nova margem.</t>
  </si>
  <si>
    <t>Margem Bruta (%)</t>
  </si>
  <si>
    <t>↑ se ≥ 65%</t>
  </si>
  <si>
    <t>Meta: ≥ Assumptions!B68 (65%)</t>
  </si>
  <si>
    <t>Receita líquida/usuário/mês após Stripe (BRL)</t>
  </si>
  <si>
    <t>BRL líq.</t>
  </si>
  <si>
    <t>Preço anual (BRL) — com 20% desconto</t>
  </si>
  <si>
    <t>Desconto anual: Assumptions B70.</t>
  </si>
  <si>
    <t>Equivalente mensal do plano anual (BRL)</t>
  </si>
  <si>
    <t>SENSIBILIDADE: Margem Bruta por Escala de Usuários</t>
  </si>
  <si>
    <t>Plano / Escala</t>
  </si>
  <si>
    <t>100 users</t>
  </si>
  <si>
    <t>500 users</t>
  </si>
  <si>
    <t>1.000 users</t>
  </si>
  <si>
    <t>2.000 users</t>
  </si>
  <si>
    <t>PROJEÇÃO DE RECEITA — Mix: 50% Básico | 35% Intermediário | 15% Pro</t>
  </si>
  <si>
    <t>Preços da aba Unit_Economics. Mix de planos ajustável nas linhas 5-7.</t>
  </si>
  <si>
    <t>MIX DE PLANOS — Inputs editáveis</t>
  </si>
  <si>
    <t>% do total</t>
  </si>
  <si>
    <t>Soma (validação)</t>
  </si>
  <si>
    <t>↓ Deve somar 100%</t>
  </si>
  <si>
    <t>RECEITA MENSAL RECORRENTE (MRR) — por Total de Usuários Pagantes</t>
  </si>
  <si>
    <t>250 users</t>
  </si>
  <si>
    <t>1.500 users</t>
  </si>
  <si>
    <t>3.000 users</t>
  </si>
  <si>
    <t>5.000 users</t>
  </si>
  <si>
    <t>10.000 users</t>
  </si>
  <si>
    <t>Usuários Básico</t>
  </si>
  <si>
    <t>Usuários Intermediário</t>
  </si>
  <si>
    <t>Usuários Pro</t>
  </si>
  <si>
    <t>MRR Básico (BRL)</t>
  </si>
  <si>
    <t>MRR Intermediário (BRL)</t>
  </si>
  <si>
    <t>MRR Pro (BRL)</t>
  </si>
  <si>
    <t>MRR TOTAL (BRL)</t>
  </si>
  <si>
    <t>MRR TOTAL (USD)</t>
  </si>
  <si>
    <t>ARR (BRL) — × 12</t>
  </si>
  <si>
    <t>ARR (USD)</t>
  </si>
  <si>
    <t>CUSTO TOTAL MENSAL (COGS) — Cenário Moderado</t>
  </si>
  <si>
    <t>COGS Básico (BRL)</t>
  </si>
  <si>
    <t>COGS Intermediário (BRL)</t>
  </si>
  <si>
    <t>COGS Pro (BRL)</t>
  </si>
  <si>
    <t>COGS TOTAL (BRL)</t>
  </si>
  <si>
    <t>LUCRO BRUTO MENSAL (MRR - COGS)</t>
  </si>
  <si>
    <t>Lucro Bruto (BRL)</t>
  </si>
  <si>
    <t>GUIA DE RECÁLCULO MENSAL — Shape Certo SaaS</t>
  </si>
  <si>
    <t>Execute este checklist mensalmente ou sempre que houver mudança de preço em APIs, câmbio ou infraestrutura.</t>
  </si>
  <si>
    <t>#</t>
  </si>
  <si>
    <t>Ação</t>
  </si>
  <si>
    <t>Onde Atualizar (aba → célula)</t>
  </si>
  <si>
    <t>Impacto Automático</t>
  </si>
  <si>
    <t>Atualizar câmbio USD → BRL</t>
  </si>
  <si>
    <t>Assumptions → B5</t>
  </si>
  <si>
    <t>Todos os custos BRL, preços USD e margens recalculam automaticamente</t>
  </si>
  <si>
    <t>Mover câmbio atual para 'mês anterior' antes de atualizar</t>
  </si>
  <si>
    <t>Assumptions → B6 (câmbio anterior)</t>
  </si>
  <si>
    <t>B7 (variação câmbio %) calcula automaticamente</t>
  </si>
  <si>
    <t>Verificar preço OpenAI Input (USD/1M tk)</t>
  </si>
  <si>
    <t>Assumptions → B11</t>
  </si>
  <si>
    <t>Token_Costs → Unit_Economics → Revenue_Projection (cascata completa)</t>
  </si>
  <si>
    <t>Verificar preço OpenAI Output (USD/1M tk)</t>
  </si>
  <si>
    <t>Assumptions → B12</t>
  </si>
  <si>
    <t>Idem cascata acima</t>
  </si>
  <si>
    <t>Verificar taxa % Stripe Brasil</t>
  </si>
  <si>
    <t>Assumptions → B16</t>
  </si>
  <si>
    <t>Stripe_Costs recalcula → Unit_Economics (custo Stripe) → margens</t>
  </si>
  <si>
    <t>Verificar taxa fixa Stripe (R$)</t>
  </si>
  <si>
    <t>Assumptions → B17</t>
  </si>
  <si>
    <t>Idem acima</t>
  </si>
  <si>
    <t>Revisar custos de infra (servidor, DB, S3, CDN, monitoring)</t>
  </si>
  <si>
    <t>Assumptions → B23:B28</t>
  </si>
  <si>
    <t>Infra_Costs recalcula → Unit_Economics → Revenue_Projection</t>
  </si>
  <si>
    <t>Revisar preços sugeridos se margem caiu &lt; 65%</t>
  </si>
  <si>
    <t>Unit_Economics → B13, D13, F13 (células AMARELAS)</t>
  </si>
  <si>
    <t>Margens, Stripe_Costs B5:B7 e Revenue_Projection recalculam</t>
  </si>
  <si>
    <t>Sincronizar preços em Stripe_Costs manualmente (sem link automático — evita circularidade)</t>
  </si>
  <si>
    <t>Stripe_Costs → B5, B6, B7</t>
  </si>
  <si>
    <t>Stripe_Costs recalcula custo por transação → Unit_Economics</t>
  </si>
  <si>
    <t>Verificar mix de planos se base de usuários mudou</t>
  </si>
  <si>
    <t>Revenue_Projection → B5, B6, B7</t>
  </si>
  <si>
    <t>Revenue_Projection inteiro recalcula (MRR, ARR, COGS, margem)</t>
  </si>
  <si>
    <t>Revisar tokens de contexto se backend mudou compressão</t>
  </si>
  <si>
    <t>Assumptions → B38, B39, B40</t>
  </si>
  <si>
    <t>Token_Costs e Unit_Economics recalculam</t>
  </si>
  <si>
    <t>Atualizar frequência de uso com dados reais de analytics</t>
  </si>
  <si>
    <t>Assumptions → B56:C58 (msgs/dia) e B62:C64 (gerações/mês)</t>
  </si>
  <si>
    <t>Token_Costs, Unit_Economics e Revenue_Projection recalculam</t>
  </si>
  <si>
    <t>Verificar erros de fórmula em todas as abas</t>
  </si>
  <si>
    <t>Todas as abas — verificar #REF!, #DIV/0!, #VALUE!</t>
  </si>
  <si>
    <t>Zero erros = modelo consistente e confiável</t>
  </si>
  <si>
    <t>Atualizar data de última revisão no título da aba Assumptions</t>
  </si>
  <si>
    <t>Assumptions → A2 (texto da data)</t>
  </si>
  <si>
    <t>Rastreabilidade de quando o modelo foi revisado</t>
  </si>
  <si>
    <t>IMPORTANTE: Por Que Stripe_Costs!B5:B7 São Inputs Independentes (Não Linkados)</t>
  </si>
  <si>
    <t>• Os preços em Stripe_Costs!B5:B7 NÃO são linkados automaticamente de Unit_Economics — isso é intencional.</t>
  </si>
  <si>
    <t>• Motivo: Stripe cost depende do preço → preço depende do Stripe cost = referência circular.</t>
  </si>
  <si>
    <t>• Fluxo correto: 1) Altere preço em Unit_Economics (célula amarela) → 2) Verifique nova margem → 3) Se ok, atualize Stripe_Costs B5:B7 → 4) Verifique margem final.</t>
  </si>
  <si>
    <t>• Diferença é pequena: Stripe cost em 1 iteração já é muito próximo do valor convergido (R$1–R$4 de diferença).</t>
  </si>
  <si>
    <t>SHAPE CERTO — SUMÁRIO EXECUTIVO DO PLANO DE NEGÓCIOS</t>
  </si>
  <si>
    <t>Câmbio: USD 1 = R$ 5,70 (Mai 2026)  |  Todos os valores linkados automaticamente das abas de cálculo</t>
  </si>
  <si>
    <t>PREÇOS E MARGENS — Cenário Moderado @ 1.000 usuários</t>
  </si>
  <si>
    <t>Custo Total/Usuário (BRL)</t>
  </si>
  <si>
    <t>RECEITA PROJETADA — Mix 50/35/15 (valores mensais)</t>
  </si>
  <si>
    <t>Escala (Usuários)</t>
  </si>
  <si>
    <t>MRR (BRL)</t>
  </si>
  <si>
    <t>ARR (BRL)</t>
  </si>
  <si>
    <t>COGS (BRL)</t>
  </si>
  <si>
    <t>100 usuários</t>
  </si>
  <si>
    <t>500 usuários</t>
  </si>
  <si>
    <t>1.000 usuários</t>
  </si>
  <si>
    <t>2.000 usuários</t>
  </si>
  <si>
    <t>5.000 usuários</t>
  </si>
  <si>
    <t>10.000 usuários</t>
  </si>
  <si>
    <t>CUSTO OPENAI POR USUÁRIO/MÊS — Conservador vs. Moderado</t>
  </si>
  <si>
    <t>Conservador (USD)</t>
  </si>
  <si>
    <t>Moderado (USD)</t>
  </si>
  <si>
    <t>Conservador (BRL)</t>
  </si>
  <si>
    <t>Moderado (BRL)</t>
  </si>
  <si>
    <t>INFRA: CUSTO POR USUÁRIO CONFORME ESCALA</t>
  </si>
  <si>
    <t>Escala</t>
  </si>
  <si>
    <t>Infra/usuário (USD)</t>
  </si>
  <si>
    <t>Infra/usuário (BRL)</t>
  </si>
  <si>
    <t>Total Infra/mês (USD)</t>
  </si>
  <si>
    <t>Fonte: Infra_Costs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</si>
</sst>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.00;&quot;($&quot;#,##0.00);&quot;-&quot;"/>
    <numFmt numFmtId="165" formatCode="0.00%;(0.00%);-"/>
    <numFmt numFmtId="166" formatCode="&quot;$&quot;#,##0.0000;(&quot;$&quot;#,##0.0000);&quot;-&quot;"/>
    <numFmt numFmtId="167" formatCode="&quot;R$ &quot;#,##0.00;(&quot;R$ &quot;#,##0.00);&quot;-&quot;"/>
    <numFmt numFmtId="168" formatCode="&quot;$&quot;#,##0.000"/>
    <numFmt numFmtId="169" formatCode="#,##0;(#,##0);-"/>
    <numFmt numFmtId="170" formatCode="0.0%;(0.0%);-"/>
    <numFmt numFmtId="171" formatCode="&quot;R$ &quot;#,##0.0000;(&quot;R$ &quot;#,##0.0000);&quot;-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95959"/>
      <sz val="9"/>
      <name val="Arial"/>
    </font>
    <font>
      <b/>
      <color rgb="FFFFFFFF"/>
      <name val="Arial"/>
    </font>
    <font>
      <color rgb="FF000000"/>
      <name val="Arial"/>
    </font>
    <font>
      <color rgb="FF0000FF"/>
      <name val="Arial"/>
    </font>
    <font>
      <b/>
      <color rgb="FF000000"/>
      <name val="Arial"/>
    </font>
    <font>
      <b/>
      <color rgb="FFFFFFFF"/>
      <sz val="13"/>
      <name val="Arial"/>
    </font>
    <font>
      <color rgb="FF595959"/>
      <sz val="10"/>
      <name val="Arial"/>
    </font>
    <font>
      <b/>
      <color rgb="FFFFFFFF"/>
      <sz val="1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/>
    <xf numFmtId="164" fontId="5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4" fillId="0" borderId="1" xfId="0" applyFont="1" applyBorder="1"/>
    <xf numFmtId="165" fontId="4" fillId="0" borderId="1" xfId="0" applyNumberFormat="1" applyFont="1" applyBorder="1" applyAlignment="1">
      <alignment vertical="center"/>
    </xf>
    <xf numFmtId="166" fontId="5" fillId="4" borderId="1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168" fontId="5" fillId="4" borderId="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4" borderId="1" xfId="0" applyNumberFormat="1" applyFont="1" applyFill="1" applyBorder="1" applyAlignment="1">
      <alignment vertical="center"/>
    </xf>
    <xf numFmtId="169" fontId="5" fillId="0" borderId="1" xfId="0" applyNumberFormat="1" applyFont="1" applyBorder="1" applyAlignment="1">
      <alignment vertical="center"/>
    </xf>
    <xf numFmtId="170" fontId="5" fillId="4" borderId="1" xfId="0" applyNumberFormat="1" applyFont="1" applyFill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9" fontId="4" fillId="0" borderId="1" xfId="0" applyNumberFormat="1" applyFont="1" applyBorder="1" applyAlignment="1">
      <alignment vertical="center"/>
    </xf>
    <xf numFmtId="169" fontId="4" fillId="4" borderId="1" xfId="0" applyNumberFormat="1" applyFont="1" applyFill="1" applyBorder="1" applyAlignment="1">
      <alignment vertical="center"/>
    </xf>
    <xf numFmtId="169" fontId="6" fillId="5" borderId="1" xfId="0" applyNumberFormat="1" applyFont="1" applyFill="1" applyBorder="1" applyAlignment="1">
      <alignment vertical="center"/>
    </xf>
    <xf numFmtId="166" fontId="4" fillId="5" borderId="1" xfId="0" applyNumberFormat="1" applyFont="1" applyFill="1" applyBorder="1" applyAlignment="1">
      <alignment vertical="center"/>
    </xf>
    <xf numFmtId="171" fontId="4" fillId="5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 wrapText="1"/>
    </xf>
    <xf numFmtId="166" fontId="6" fillId="6" borderId="1" xfId="0" applyNumberFormat="1" applyFont="1" applyFill="1" applyBorder="1" applyAlignment="1">
      <alignment vertical="center"/>
    </xf>
    <xf numFmtId="171" fontId="6" fillId="6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8" fontId="4" fillId="4" borderId="1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171" fontId="4" fillId="4" borderId="1" xfId="0" applyNumberFormat="1" applyFont="1" applyFill="1" applyBorder="1" applyAlignment="1">
      <alignment vertical="center"/>
    </xf>
    <xf numFmtId="168" fontId="4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71" fontId="4" fillId="0" borderId="1" xfId="0" applyNumberFormat="1" applyFont="1" applyBorder="1" applyAlignment="1">
      <alignment vertical="center"/>
    </xf>
    <xf numFmtId="167" fontId="5" fillId="4" borderId="1" xfId="0" applyNumberFormat="1" applyFont="1" applyFill="1" applyBorder="1" applyAlignment="1">
      <alignment vertical="center"/>
    </xf>
    <xf numFmtId="167" fontId="4" fillId="4" borderId="1" xfId="0" applyNumberFormat="1" applyFont="1" applyFill="1" applyBorder="1" applyAlignment="1">
      <alignment vertical="center"/>
    </xf>
    <xf numFmtId="167" fontId="6" fillId="4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166" fontId="4" fillId="4" borderId="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6" fontId="6" fillId="5" borderId="1" xfId="0" applyNumberFormat="1" applyFont="1" applyFill="1" applyBorder="1" applyAlignment="1">
      <alignment vertical="center"/>
    </xf>
    <xf numFmtId="171" fontId="6" fillId="5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 wrapText="1"/>
    </xf>
    <xf numFmtId="167" fontId="5" fillId="7" borderId="1" xfId="0" applyNumberFormat="1" applyFont="1" applyFill="1" applyBorder="1" applyAlignment="1">
      <alignment vertical="center"/>
    </xf>
    <xf numFmtId="164" fontId="4" fillId="7" borderId="1" xfId="0" applyNumberFormat="1" applyFont="1" applyFill="1" applyBorder="1" applyAlignment="1">
      <alignment vertical="center"/>
    </xf>
    <xf numFmtId="170" fontId="6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70" fontId="6" fillId="4" borderId="1" xfId="0" applyNumberFormat="1" applyFont="1" applyFill="1" applyBorder="1" applyAlignment="1">
      <alignment vertical="center"/>
    </xf>
    <xf numFmtId="170" fontId="6" fillId="0" borderId="1" xfId="0" applyNumberFormat="1" applyFont="1" applyBorder="1" applyAlignment="1">
      <alignment vertical="center"/>
    </xf>
    <xf numFmtId="0" fontId="2" fillId="0" borderId="1" xfId="0" applyFont="1" applyBorder="1"/>
    <xf numFmtId="167" fontId="6" fillId="6" borderId="1" xfId="0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167" fontId="6" fillId="5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 wrapText="1"/>
    </xf>
    <xf numFmtId="167" fontId="6" fillId="8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171" fontId="6" fillId="4" borderId="1" xfId="0" applyNumberFormat="1" applyFont="1" applyFill="1" applyBorder="1" applyAlignment="1">
      <alignment vertical="center"/>
    </xf>
    <xf numFmtId="171" fontId="6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20" customWidth="1"/>
    <col min="3" max="3" width="32" customWidth="1"/>
    <col min="4" max="4" width="14" customWidth="1"/>
    <col min="5" max="5" width="42" customWidth="1"/>
    <col min="6" max="6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3" x14ac:dyDescent="0.25">
      <c r="A3" s="3" t="s">
        <v>2</v>
      </c>
      <c r="B3" s="3"/>
      <c r="C3" s="3"/>
    </row>
    <row r="4" spans="1:3" x14ac:dyDescent="0.25">
      <c r="A4" s="4" t="s">
        <v>3</v>
      </c>
      <c r="B4" s="4" t="s">
        <v>4</v>
      </c>
      <c r="C4" s="4" t="s">
        <v>5</v>
      </c>
    </row>
    <row r="5" spans="1:3" x14ac:dyDescent="0.25">
      <c r="A5" s="5" t="s">
        <v>6</v>
      </c>
      <c r="B5" s="6">
        <v>5.7</v>
      </c>
      <c r="C5" s="7" t="s">
        <v>7</v>
      </c>
    </row>
    <row r="6" spans="1:3" x14ac:dyDescent="0.25">
      <c r="A6" s="8" t="s">
        <v>8</v>
      </c>
      <c r="B6" s="9">
        <v>5.7</v>
      </c>
      <c r="C6" s="10" t="s">
        <v>9</v>
      </c>
    </row>
    <row r="7" spans="1:3" x14ac:dyDescent="0.25">
      <c r="A7" s="11" t="s">
        <v>10</v>
      </c>
      <c r="B7" s="12">
        <f>IF(B6&gt;0,(B5-B6)/B6,0)</f>
      </c>
      <c r="C7" s="7" t="s">
        <v>11</v>
      </c>
    </row>
    <row r="9" spans="1:3" x14ac:dyDescent="0.25">
      <c r="A9" s="3" t="s">
        <v>12</v>
      </c>
      <c r="B9" s="3"/>
      <c r="C9" s="3"/>
    </row>
    <row r="10" spans="1:3" x14ac:dyDescent="0.25">
      <c r="A10" s="4" t="s">
        <v>13</v>
      </c>
      <c r="B10" s="4" t="s">
        <v>14</v>
      </c>
      <c r="C10" s="4" t="s">
        <v>15</v>
      </c>
    </row>
    <row r="11" spans="1:3" x14ac:dyDescent="0.25">
      <c r="A11" s="8" t="s">
        <v>16</v>
      </c>
      <c r="B11" s="13">
        <v>0.15</v>
      </c>
      <c r="C11" s="10" t="s">
        <v>17</v>
      </c>
    </row>
    <row r="12" spans="1:3" x14ac:dyDescent="0.25">
      <c r="A12" s="11" t="s">
        <v>18</v>
      </c>
      <c r="B12" s="14">
        <v>0.6</v>
      </c>
      <c r="C12" s="7" t="s">
        <v>17</v>
      </c>
    </row>
    <row r="14" spans="1:3" x14ac:dyDescent="0.25">
      <c r="A14" s="3" t="s">
        <v>19</v>
      </c>
      <c r="B14" s="3"/>
      <c r="C14" s="3"/>
    </row>
    <row r="15" spans="1:3" x14ac:dyDescent="0.25">
      <c r="A15" s="4" t="s">
        <v>3</v>
      </c>
      <c r="B15" s="4" t="s">
        <v>4</v>
      </c>
      <c r="C15" s="4" t="s">
        <v>15</v>
      </c>
    </row>
    <row r="16" spans="1:3" x14ac:dyDescent="0.25">
      <c r="A16" s="8" t="s">
        <v>20</v>
      </c>
      <c r="B16" s="15">
        <v>0.0399</v>
      </c>
      <c r="C16" s="10" t="s">
        <v>21</v>
      </c>
    </row>
    <row r="17" spans="1:3" x14ac:dyDescent="0.25">
      <c r="A17" s="11" t="s">
        <v>22</v>
      </c>
      <c r="B17" s="16">
        <v>0.39</v>
      </c>
      <c r="C17" s="7" t="s">
        <v>23</v>
      </c>
    </row>
    <row r="18" spans="1:3" x14ac:dyDescent="0.25">
      <c r="A18" s="8" t="s">
        <v>24</v>
      </c>
      <c r="B18" s="15">
        <v>0.029</v>
      </c>
      <c r="C18" s="10" t="s">
        <v>25</v>
      </c>
    </row>
    <row r="19" spans="1:3" x14ac:dyDescent="0.25">
      <c r="A19" s="11" t="s">
        <v>26</v>
      </c>
      <c r="B19" s="6">
        <v>0.3</v>
      </c>
      <c r="C19" s="7" t="s">
        <v>27</v>
      </c>
    </row>
    <row r="21" spans="1:3" x14ac:dyDescent="0.25">
      <c r="A21" s="3" t="s">
        <v>28</v>
      </c>
      <c r="B21" s="3"/>
      <c r="C21" s="3"/>
    </row>
    <row r="22" spans="1:3" x14ac:dyDescent="0.25">
      <c r="A22" s="4" t="s">
        <v>29</v>
      </c>
      <c r="B22" s="4" t="s">
        <v>30</v>
      </c>
      <c r="C22" s="4" t="s">
        <v>15</v>
      </c>
    </row>
    <row r="23" spans="1:3" x14ac:dyDescent="0.25">
      <c r="A23" s="8" t="s">
        <v>31</v>
      </c>
      <c r="B23" s="9">
        <v>30</v>
      </c>
      <c r="C23" s="10" t="s">
        <v>32</v>
      </c>
    </row>
    <row r="24" spans="1:3" x14ac:dyDescent="0.25">
      <c r="A24" s="11" t="s">
        <v>33</v>
      </c>
      <c r="B24" s="6">
        <v>20</v>
      </c>
      <c r="C24" s="7" t="s">
        <v>34</v>
      </c>
    </row>
    <row r="25" spans="1:3" x14ac:dyDescent="0.25">
      <c r="A25" s="8" t="s">
        <v>35</v>
      </c>
      <c r="B25" s="9">
        <v>5</v>
      </c>
      <c r="C25" s="10" t="s">
        <v>36</v>
      </c>
    </row>
    <row r="26" spans="1:3" x14ac:dyDescent="0.25">
      <c r="A26" s="11" t="s">
        <v>37</v>
      </c>
      <c r="B26" s="6">
        <v>0.023</v>
      </c>
      <c r="C26" s="7" t="s">
        <v>38</v>
      </c>
    </row>
    <row r="27" spans="1:3" x14ac:dyDescent="0.25">
      <c r="A27" s="8" t="s">
        <v>39</v>
      </c>
      <c r="B27" s="9">
        <v>5</v>
      </c>
      <c r="C27" s="10" t="s">
        <v>40</v>
      </c>
    </row>
    <row r="28" spans="1:3" x14ac:dyDescent="0.25">
      <c r="A28" s="11" t="s">
        <v>41</v>
      </c>
      <c r="B28" s="6">
        <v>5</v>
      </c>
      <c r="C28" s="7" t="s">
        <v>42</v>
      </c>
    </row>
    <row r="29" spans="1:3" x14ac:dyDescent="0.25">
      <c r="A29" s="17" t="s">
        <v>43</v>
      </c>
      <c r="B29" s="18">
        <f>SUM(B23:B28)</f>
      </c>
      <c r="C29" s="19" t="s">
        <v>44</v>
      </c>
    </row>
    <row r="30" spans="1:3" x14ac:dyDescent="0.25">
      <c r="A30" s="3" t="s">
        <v>45</v>
      </c>
      <c r="B30" s="3"/>
      <c r="C30" s="3"/>
    </row>
    <row r="31" spans="1:3" x14ac:dyDescent="0.25">
      <c r="A31" s="4" t="s">
        <v>46</v>
      </c>
      <c r="B31" s="4" t="s">
        <v>47</v>
      </c>
      <c r="C31" s="4" t="s">
        <v>15</v>
      </c>
    </row>
    <row r="32" spans="1:3" x14ac:dyDescent="0.25">
      <c r="A32" s="8" t="s">
        <v>48</v>
      </c>
      <c r="B32" s="20">
        <v>0.004</v>
      </c>
      <c r="C32" s="10" t="s">
        <v>49</v>
      </c>
    </row>
    <row r="33" spans="1:3" x14ac:dyDescent="0.25">
      <c r="A33" s="11" t="s">
        <v>50</v>
      </c>
      <c r="B33" s="21">
        <v>0.012</v>
      </c>
      <c r="C33" s="7" t="s">
        <v>51</v>
      </c>
    </row>
    <row r="34" spans="1:3" x14ac:dyDescent="0.25">
      <c r="A34" s="8" t="s">
        <v>52</v>
      </c>
      <c r="B34" s="20">
        <v>0.02</v>
      </c>
      <c r="C34" s="10" t="s">
        <v>53</v>
      </c>
    </row>
    <row r="36" spans="1:3" x14ac:dyDescent="0.25">
      <c r="A36" s="3" t="s">
        <v>54</v>
      </c>
      <c r="B36" s="3"/>
      <c r="C36" s="3"/>
    </row>
    <row r="37" spans="1:3" x14ac:dyDescent="0.25">
      <c r="A37" s="4" t="s">
        <v>46</v>
      </c>
      <c r="B37" s="4" t="s">
        <v>55</v>
      </c>
      <c r="C37" s="4" t="s">
        <v>15</v>
      </c>
    </row>
    <row r="38" spans="1:3" x14ac:dyDescent="0.25">
      <c r="A38" s="8" t="s">
        <v>56</v>
      </c>
      <c r="B38" s="22">
        <v>2000</v>
      </c>
      <c r="C38" s="10" t="s">
        <v>57</v>
      </c>
    </row>
    <row r="39" spans="1:3" x14ac:dyDescent="0.25">
      <c r="A39" s="11" t="s">
        <v>58</v>
      </c>
      <c r="B39" s="23">
        <v>8000</v>
      </c>
      <c r="C39" s="7" t="s">
        <v>59</v>
      </c>
    </row>
    <row r="40" spans="1:3" x14ac:dyDescent="0.25">
      <c r="A40" s="8" t="s">
        <v>60</v>
      </c>
      <c r="B40" s="22">
        <v>18000</v>
      </c>
      <c r="C40" s="10" t="s">
        <v>61</v>
      </c>
    </row>
    <row r="42" spans="1:3" x14ac:dyDescent="0.25">
      <c r="A42" s="3" t="s">
        <v>62</v>
      </c>
      <c r="B42" s="3"/>
      <c r="C42" s="3"/>
    </row>
    <row r="43" spans="1:3" x14ac:dyDescent="0.25">
      <c r="A43" s="4" t="s">
        <v>46</v>
      </c>
      <c r="B43" s="4" t="s">
        <v>63</v>
      </c>
      <c r="C43" s="4" t="s">
        <v>15</v>
      </c>
    </row>
    <row r="44" spans="1:3" x14ac:dyDescent="0.25">
      <c r="A44" s="8" t="s">
        <v>64</v>
      </c>
      <c r="B44" s="22">
        <v>350</v>
      </c>
      <c r="C44" s="10" t="s">
        <v>65</v>
      </c>
    </row>
    <row r="45" spans="1:3" x14ac:dyDescent="0.25">
      <c r="A45" s="11" t="s">
        <v>66</v>
      </c>
      <c r="B45" s="23">
        <v>450</v>
      </c>
      <c r="C45" s="7" t="s">
        <v>67</v>
      </c>
    </row>
    <row r="46" spans="1:3" x14ac:dyDescent="0.25">
      <c r="A46" s="8" t="s">
        <v>68</v>
      </c>
      <c r="B46" s="22">
        <v>550</v>
      </c>
      <c r="C46" s="10" t="s">
        <v>69</v>
      </c>
    </row>
    <row r="48" spans="1:4" x14ac:dyDescent="0.25">
      <c r="A48" s="3" t="s">
        <v>70</v>
      </c>
      <c r="B48" s="3"/>
      <c r="C48" s="3"/>
      <c r="D48" s="3"/>
    </row>
    <row r="49" spans="1:4" x14ac:dyDescent="0.25">
      <c r="A49" s="4" t="s">
        <v>46</v>
      </c>
      <c r="B49" s="4" t="s">
        <v>71</v>
      </c>
      <c r="C49" s="4" t="s">
        <v>72</v>
      </c>
      <c r="D49" s="4" t="s">
        <v>15</v>
      </c>
    </row>
    <row r="50" spans="1:4" x14ac:dyDescent="0.25">
      <c r="A50" s="8" t="s">
        <v>64</v>
      </c>
      <c r="B50" s="22">
        <v>5000</v>
      </c>
      <c r="C50" s="22">
        <v>800</v>
      </c>
      <c r="D50" s="10" t="s">
        <v>73</v>
      </c>
    </row>
    <row r="51" spans="1:4" x14ac:dyDescent="0.25">
      <c r="A51" s="11" t="s">
        <v>66</v>
      </c>
      <c r="B51" s="23">
        <v>12000</v>
      </c>
      <c r="C51" s="23">
        <v>1200</v>
      </c>
      <c r="D51" s="7" t="s">
        <v>74</v>
      </c>
    </row>
    <row r="52" spans="1:4" x14ac:dyDescent="0.25">
      <c r="A52" s="8" t="s">
        <v>68</v>
      </c>
      <c r="B52" s="22">
        <v>20000</v>
      </c>
      <c r="C52" s="22">
        <v>2000</v>
      </c>
      <c r="D52" s="10" t="s">
        <v>75</v>
      </c>
    </row>
    <row r="54" spans="1:4" x14ac:dyDescent="0.25">
      <c r="A54" s="3" t="s">
        <v>76</v>
      </c>
      <c r="B54" s="3"/>
      <c r="C54" s="3"/>
      <c r="D54" s="3"/>
    </row>
    <row r="55" spans="1:4" x14ac:dyDescent="0.25">
      <c r="A55" s="4" t="s">
        <v>46</v>
      </c>
      <c r="B55" s="4" t="s">
        <v>77</v>
      </c>
      <c r="C55" s="4" t="s">
        <v>78</v>
      </c>
      <c r="D55" s="4" t="s">
        <v>15</v>
      </c>
    </row>
    <row r="56" spans="1:4" x14ac:dyDescent="0.25">
      <c r="A56" s="8" t="s">
        <v>64</v>
      </c>
      <c r="B56" s="22">
        <v>2</v>
      </c>
      <c r="C56" s="22">
        <v>4</v>
      </c>
      <c r="D56" s="10" t="s">
        <v>79</v>
      </c>
    </row>
    <row r="57" spans="1:4" x14ac:dyDescent="0.25">
      <c r="A57" s="11" t="s">
        <v>66</v>
      </c>
      <c r="B57" s="23">
        <v>3</v>
      </c>
      <c r="C57" s="23">
        <v>6</v>
      </c>
      <c r="D57" s="7" t="s">
        <v>80</v>
      </c>
    </row>
    <row r="58" spans="1:4" x14ac:dyDescent="0.25">
      <c r="A58" s="8" t="s">
        <v>68</v>
      </c>
      <c r="B58" s="22">
        <v>4</v>
      </c>
      <c r="C58" s="22">
        <v>8</v>
      </c>
      <c r="D58" s="10" t="s">
        <v>81</v>
      </c>
    </row>
    <row r="60" spans="1:4" x14ac:dyDescent="0.25">
      <c r="A60" s="3" t="s">
        <v>82</v>
      </c>
      <c r="B60" s="3"/>
      <c r="C60" s="3"/>
      <c r="D60" s="3"/>
    </row>
    <row r="61" spans="1:4" x14ac:dyDescent="0.25">
      <c r="A61" s="4" t="s">
        <v>46</v>
      </c>
      <c r="B61" s="4" t="s">
        <v>83</v>
      </c>
      <c r="C61" s="4" t="s">
        <v>84</v>
      </c>
      <c r="D61" s="4" t="s">
        <v>15</v>
      </c>
    </row>
    <row r="62" spans="1:4" x14ac:dyDescent="0.25">
      <c r="A62" s="8" t="s">
        <v>64</v>
      </c>
      <c r="B62" s="22">
        <v>2</v>
      </c>
      <c r="C62" s="22">
        <v>4</v>
      </c>
      <c r="D62" s="10" t="s">
        <v>85</v>
      </c>
    </row>
    <row r="63" spans="1:4" x14ac:dyDescent="0.25">
      <c r="A63" s="11" t="s">
        <v>66</v>
      </c>
      <c r="B63" s="23">
        <v>4</v>
      </c>
      <c r="C63" s="23">
        <v>6</v>
      </c>
      <c r="D63" s="7" t="s">
        <v>86</v>
      </c>
    </row>
    <row r="64" spans="1:4" x14ac:dyDescent="0.25">
      <c r="A64" s="8" t="s">
        <v>68</v>
      </c>
      <c r="B64" s="22">
        <v>6</v>
      </c>
      <c r="C64" s="22">
        <v>10</v>
      </c>
      <c r="D64" s="10" t="s">
        <v>87</v>
      </c>
    </row>
    <row r="66" spans="1:3" x14ac:dyDescent="0.25">
      <c r="A66" s="3" t="s">
        <v>88</v>
      </c>
      <c r="B66" s="3"/>
      <c r="C66" s="3"/>
    </row>
    <row r="67" spans="1:3" x14ac:dyDescent="0.25">
      <c r="A67" s="4" t="s">
        <v>3</v>
      </c>
      <c r="B67" s="4" t="s">
        <v>4</v>
      </c>
      <c r="C67" s="4" t="s">
        <v>15</v>
      </c>
    </row>
    <row r="68" spans="1:3" x14ac:dyDescent="0.25">
      <c r="A68" s="8" t="s">
        <v>89</v>
      </c>
      <c r="B68" s="24">
        <v>0.65</v>
      </c>
      <c r="C68" s="10" t="s">
        <v>90</v>
      </c>
    </row>
    <row r="69" spans="1:3" x14ac:dyDescent="0.25">
      <c r="A69" s="11" t="s">
        <v>91</v>
      </c>
      <c r="B69" s="25">
        <v>0.75</v>
      </c>
      <c r="C69" s="7" t="s">
        <v>92</v>
      </c>
    </row>
    <row r="70" spans="1:3" x14ac:dyDescent="0.25">
      <c r="A70" s="8" t="s">
        <v>93</v>
      </c>
      <c r="B70" s="24">
        <v>0.2</v>
      </c>
      <c r="C70" s="10" t="s">
        <v>94</v>
      </c>
    </row>
    <row r="71" spans="1:3" x14ac:dyDescent="0.25">
      <c r="A71" s="11" t="s">
        <v>95</v>
      </c>
      <c r="B71" s="23">
        <v>1000</v>
      </c>
      <c r="C71" s="7" t="s">
        <v>96</v>
      </c>
    </row>
  </sheetData>
  <mergeCells count="13">
    <mergeCell ref="A1:F1"/>
    <mergeCell ref="A2:F2"/>
    <mergeCell ref="A3:C3"/>
    <mergeCell ref="A9:C9"/>
    <mergeCell ref="A14:C14"/>
    <mergeCell ref="A21:C21"/>
    <mergeCell ref="A30:C30"/>
    <mergeCell ref="A36:C36"/>
    <mergeCell ref="A42:C42"/>
    <mergeCell ref="A48:D48"/>
    <mergeCell ref="A54:D54"/>
    <mergeCell ref="A60:D60"/>
    <mergeCell ref="A66:C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 showGridLines="0"/>
  </sheetViews>
  <sheetFormatPr defaultRowHeight="15" outlineLevelRow="0" outlineLevelCol="0" x14ac:dyDescent="55"/>
  <cols>
    <col min="1" max="1" width="40" customWidth="1"/>
    <col min="2" max="8" width="20" customWidth="1"/>
  </cols>
  <sheetData>
    <row r="1" ht="36" customHeight="1" spans="1:8" x14ac:dyDescent="0.25">
      <c r="A1" s="26" t="s">
        <v>97</v>
      </c>
      <c r="B1" s="26"/>
      <c r="C1" s="26"/>
      <c r="D1" s="26"/>
      <c r="E1" s="26"/>
      <c r="F1" s="26"/>
      <c r="G1" s="26"/>
      <c r="H1" s="26"/>
    </row>
    <row r="2" spans="1:8" x14ac:dyDescent="0.25">
      <c r="A2" s="2" t="s">
        <v>98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99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  <c r="H4" s="4" t="s">
        <v>107</v>
      </c>
    </row>
    <row r="5" spans="1:8" x14ac:dyDescent="0.25">
      <c r="A5" s="27" t="s">
        <v>108</v>
      </c>
      <c r="B5" s="7" t="s">
        <v>109</v>
      </c>
      <c r="C5" s="23">
        <v>30</v>
      </c>
      <c r="D5" s="23">
        <v>30</v>
      </c>
      <c r="E5" s="11" t="s">
        <v>110</v>
      </c>
      <c r="F5" s="11" t="s">
        <v>110</v>
      </c>
      <c r="G5" s="11" t="s">
        <v>110</v>
      </c>
      <c r="H5" s="11" t="s">
        <v>110</v>
      </c>
    </row>
    <row r="6" spans="1:8" x14ac:dyDescent="0.25">
      <c r="A6" s="28" t="s">
        <v>111</v>
      </c>
      <c r="B6" s="7" t="s">
        <v>112</v>
      </c>
      <c r="C6" s="29">
        <f>Assumptions!B56</f>
      </c>
      <c r="D6" s="29">
        <f>Assumptions!C56</f>
      </c>
      <c r="E6" s="11" t="s">
        <v>110</v>
      </c>
      <c r="F6" s="11" t="s">
        <v>110</v>
      </c>
      <c r="G6" s="11" t="s">
        <v>110</v>
      </c>
      <c r="H6" s="11" t="s">
        <v>110</v>
      </c>
    </row>
    <row r="7" spans="1:8" x14ac:dyDescent="0.25">
      <c r="A7" s="27" t="s">
        <v>113</v>
      </c>
      <c r="B7" s="7" t="s">
        <v>114</v>
      </c>
      <c r="C7" s="30">
        <f>C6*C5</f>
      </c>
      <c r="D7" s="30">
        <f>D6*D5</f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 x14ac:dyDescent="0.25">
      <c r="A8" s="28" t="s">
        <v>115</v>
      </c>
      <c r="B8" s="7" t="s">
        <v>116</v>
      </c>
      <c r="C8" s="29">
        <f>Assumptions!B38</f>
      </c>
      <c r="D8" s="29">
        <f>Assumptions!B38</f>
      </c>
      <c r="E8" s="11" t="s">
        <v>110</v>
      </c>
      <c r="F8" s="11" t="s">
        <v>110</v>
      </c>
      <c r="G8" s="11" t="s">
        <v>110</v>
      </c>
      <c r="H8" s="11" t="s">
        <v>110</v>
      </c>
    </row>
    <row r="9" spans="1:8" x14ac:dyDescent="0.25">
      <c r="A9" s="27" t="s">
        <v>117</v>
      </c>
      <c r="B9" s="7" t="s">
        <v>118</v>
      </c>
      <c r="C9" s="30">
        <f>Assumptions!B44</f>
      </c>
      <c r="D9" s="30">
        <f>Assumptions!B44</f>
      </c>
      <c r="E9" s="8" t="s">
        <v>110</v>
      </c>
      <c r="F9" s="8" t="s">
        <v>110</v>
      </c>
      <c r="G9" s="8" t="s">
        <v>110</v>
      </c>
      <c r="H9" s="8" t="s">
        <v>110</v>
      </c>
    </row>
    <row r="10" spans="1:8" x14ac:dyDescent="0.25">
      <c r="A10" s="28" t="s">
        <v>119</v>
      </c>
      <c r="B10" s="7" t="s">
        <v>120</v>
      </c>
      <c r="C10" s="29">
        <f>Assumptions!B62</f>
      </c>
      <c r="D10" s="29">
        <f>Assumptions!C62</f>
      </c>
      <c r="E10" s="11" t="s">
        <v>110</v>
      </c>
      <c r="F10" s="11" t="s">
        <v>110</v>
      </c>
      <c r="G10" s="11" t="s">
        <v>110</v>
      </c>
      <c r="H10" s="11" t="s">
        <v>110</v>
      </c>
    </row>
    <row r="11" spans="1:8" x14ac:dyDescent="0.25">
      <c r="A11" s="27" t="s">
        <v>121</v>
      </c>
      <c r="B11" s="7" t="s">
        <v>122</v>
      </c>
      <c r="C11" s="30">
        <f>Assumptions!B50</f>
      </c>
      <c r="D11" s="30">
        <f>Assumptions!B50</f>
      </c>
      <c r="E11" s="8" t="s">
        <v>110</v>
      </c>
      <c r="F11" s="8" t="s">
        <v>110</v>
      </c>
      <c r="G11" s="8" t="s">
        <v>110</v>
      </c>
      <c r="H11" s="8" t="s">
        <v>110</v>
      </c>
    </row>
    <row r="12" spans="1:8" x14ac:dyDescent="0.25">
      <c r="A12" s="28" t="s">
        <v>123</v>
      </c>
      <c r="B12" s="7" t="s">
        <v>124</v>
      </c>
      <c r="C12" s="29">
        <f>Assumptions!C50</f>
      </c>
      <c r="D12" s="29">
        <f>Assumptions!C50</f>
      </c>
      <c r="E12" s="11" t="s">
        <v>110</v>
      </c>
      <c r="F12" s="11" t="s">
        <v>110</v>
      </c>
      <c r="G12" s="11" t="s">
        <v>110</v>
      </c>
      <c r="H12" s="11" t="s">
        <v>110</v>
      </c>
    </row>
    <row r="13" spans="1:8" x14ac:dyDescent="0.25">
      <c r="A13" s="17" t="s">
        <v>125</v>
      </c>
      <c r="B13" s="7" t="s">
        <v>126</v>
      </c>
      <c r="C13" s="31">
        <f>C7*C8+C10*C11</f>
      </c>
      <c r="D13" s="31">
        <f>D7*D8+D10*D11</f>
      </c>
      <c r="E13" s="32">
        <f>C13/1000000*Assumptions!B11</f>
      </c>
      <c r="F13" s="32">
        <f>D13/1000000*Assumptions!B11</f>
      </c>
      <c r="G13" s="33">
        <f>E13*Assumptions!B5</f>
      </c>
      <c r="H13" s="33">
        <f>F13*Assumptions!B5</f>
      </c>
    </row>
    <row r="14" spans="1:8" x14ac:dyDescent="0.25">
      <c r="A14" s="17" t="s">
        <v>127</v>
      </c>
      <c r="B14" s="7" t="s">
        <v>128</v>
      </c>
      <c r="C14" s="31">
        <f>C7*C9+C10*C12</f>
      </c>
      <c r="D14" s="31">
        <f>D7*D9+D10*D12</f>
      </c>
      <c r="E14" s="32">
        <f>C14/1000000*Assumptions!B12</f>
      </c>
      <c r="F14" s="32">
        <f>D14/1000000*Assumptions!B12</f>
      </c>
      <c r="G14" s="33">
        <f>E14*Assumptions!B5</f>
      </c>
      <c r="H14" s="33">
        <f>F14*Assumptions!B5</f>
      </c>
    </row>
    <row r="15" spans="1:8" x14ac:dyDescent="0.25">
      <c r="A15" s="34" t="s">
        <v>129</v>
      </c>
      <c r="B15" s="7" t="s">
        <v>130</v>
      </c>
      <c r="C15" s="35">
        <f>C13/1000000*Assumptions!B11+C14/1000000*Assumptions!B12</f>
      </c>
      <c r="D15" s="35">
        <f>D13/1000000*Assumptions!B11+D14/1000000*Assumptions!B12</f>
      </c>
      <c r="E15" s="35">
        <f>C15</f>
      </c>
      <c r="F15" s="35">
        <f>D15</f>
      </c>
      <c r="G15" s="36">
        <f>C15*Assumptions!B5</f>
      </c>
      <c r="H15" s="36">
        <f>D15*Assumptions!B5</f>
      </c>
    </row>
    <row r="18" spans="1:8" x14ac:dyDescent="0.25">
      <c r="A18" s="3" t="s">
        <v>131</v>
      </c>
      <c r="B18" s="3"/>
      <c r="C18" s="3"/>
      <c r="D18" s="3"/>
      <c r="E18" s="3"/>
      <c r="F18" s="3"/>
      <c r="G18" s="3"/>
      <c r="H18" s="3"/>
    </row>
    <row r="19" spans="1:8" x14ac:dyDescent="0.25">
      <c r="A19" s="4" t="s">
        <v>100</v>
      </c>
      <c r="B19" s="4" t="s">
        <v>101</v>
      </c>
      <c r="C19" s="4" t="s">
        <v>102</v>
      </c>
      <c r="D19" s="4" t="s">
        <v>103</v>
      </c>
      <c r="E19" s="4" t="s">
        <v>104</v>
      </c>
      <c r="F19" s="4" t="s">
        <v>105</v>
      </c>
      <c r="G19" s="4" t="s">
        <v>106</v>
      </c>
      <c r="H19" s="4" t="s">
        <v>107</v>
      </c>
    </row>
    <row r="20" spans="1:8" x14ac:dyDescent="0.25">
      <c r="A20" s="27" t="s">
        <v>108</v>
      </c>
      <c r="B20" s="7" t="s">
        <v>109</v>
      </c>
      <c r="C20" s="23">
        <v>30</v>
      </c>
      <c r="D20" s="23">
        <v>30</v>
      </c>
      <c r="E20" s="11" t="s">
        <v>110</v>
      </c>
      <c r="F20" s="11" t="s">
        <v>110</v>
      </c>
      <c r="G20" s="11" t="s">
        <v>110</v>
      </c>
      <c r="H20" s="11" t="s">
        <v>110</v>
      </c>
    </row>
    <row r="21" spans="1:8" x14ac:dyDescent="0.25">
      <c r="A21" s="28" t="s">
        <v>111</v>
      </c>
      <c r="B21" s="7" t="s">
        <v>132</v>
      </c>
      <c r="C21" s="29">
        <f>Assumptions!B57</f>
      </c>
      <c r="D21" s="29">
        <f>Assumptions!C57</f>
      </c>
      <c r="E21" s="11" t="s">
        <v>110</v>
      </c>
      <c r="F21" s="11" t="s">
        <v>110</v>
      </c>
      <c r="G21" s="11" t="s">
        <v>110</v>
      </c>
      <c r="H21" s="11" t="s">
        <v>110</v>
      </c>
    </row>
    <row r="22" spans="1:8" x14ac:dyDescent="0.25">
      <c r="A22" s="27" t="s">
        <v>113</v>
      </c>
      <c r="B22" s="7" t="s">
        <v>114</v>
      </c>
      <c r="C22" s="30">
        <f>C21*C20</f>
      </c>
      <c r="D22" s="30">
        <f>D21*D20</f>
      </c>
      <c r="E22" s="8" t="s">
        <v>110</v>
      </c>
      <c r="F22" s="8" t="s">
        <v>110</v>
      </c>
      <c r="G22" s="8" t="s">
        <v>110</v>
      </c>
      <c r="H22" s="8" t="s">
        <v>110</v>
      </c>
    </row>
    <row r="23" spans="1:8" x14ac:dyDescent="0.25">
      <c r="A23" s="28" t="s">
        <v>115</v>
      </c>
      <c r="B23" s="7" t="s">
        <v>133</v>
      </c>
      <c r="C23" s="29">
        <f>Assumptions!B39</f>
      </c>
      <c r="D23" s="29">
        <f>Assumptions!B39</f>
      </c>
      <c r="E23" s="11" t="s">
        <v>110</v>
      </c>
      <c r="F23" s="11" t="s">
        <v>110</v>
      </c>
      <c r="G23" s="11" t="s">
        <v>110</v>
      </c>
      <c r="H23" s="11" t="s">
        <v>110</v>
      </c>
    </row>
    <row r="24" spans="1:8" x14ac:dyDescent="0.25">
      <c r="A24" s="27" t="s">
        <v>117</v>
      </c>
      <c r="B24" s="7" t="s">
        <v>134</v>
      </c>
      <c r="C24" s="30">
        <f>Assumptions!B45</f>
      </c>
      <c r="D24" s="30">
        <f>Assumptions!B45</f>
      </c>
      <c r="E24" s="8" t="s">
        <v>110</v>
      </c>
      <c r="F24" s="8" t="s">
        <v>110</v>
      </c>
      <c r="G24" s="8" t="s">
        <v>110</v>
      </c>
      <c r="H24" s="8" t="s">
        <v>110</v>
      </c>
    </row>
    <row r="25" spans="1:8" x14ac:dyDescent="0.25">
      <c r="A25" s="28" t="s">
        <v>119</v>
      </c>
      <c r="B25" s="7" t="s">
        <v>135</v>
      </c>
      <c r="C25" s="29">
        <f>Assumptions!B63</f>
      </c>
      <c r="D25" s="29">
        <f>Assumptions!C63</f>
      </c>
      <c r="E25" s="11" t="s">
        <v>110</v>
      </c>
      <c r="F25" s="11" t="s">
        <v>110</v>
      </c>
      <c r="G25" s="11" t="s">
        <v>110</v>
      </c>
      <c r="H25" s="11" t="s">
        <v>110</v>
      </c>
    </row>
    <row r="26" spans="1:8" x14ac:dyDescent="0.25">
      <c r="A26" s="27" t="s">
        <v>121</v>
      </c>
      <c r="B26" s="7" t="s">
        <v>136</v>
      </c>
      <c r="C26" s="30">
        <f>Assumptions!B51</f>
      </c>
      <c r="D26" s="30">
        <f>Assumptions!B51</f>
      </c>
      <c r="E26" s="8" t="s">
        <v>110</v>
      </c>
      <c r="F26" s="8" t="s">
        <v>110</v>
      </c>
      <c r="G26" s="8" t="s">
        <v>110</v>
      </c>
      <c r="H26" s="8" t="s">
        <v>110</v>
      </c>
    </row>
    <row r="27" spans="1:8" x14ac:dyDescent="0.25">
      <c r="A27" s="28" t="s">
        <v>123</v>
      </c>
      <c r="B27" s="7" t="s">
        <v>137</v>
      </c>
      <c r="C27" s="29">
        <f>Assumptions!C51</f>
      </c>
      <c r="D27" s="29">
        <f>Assumptions!C51</f>
      </c>
      <c r="E27" s="11" t="s">
        <v>110</v>
      </c>
      <c r="F27" s="11" t="s">
        <v>110</v>
      </c>
      <c r="G27" s="11" t="s">
        <v>110</v>
      </c>
      <c r="H27" s="11" t="s">
        <v>110</v>
      </c>
    </row>
    <row r="28" spans="1:8" x14ac:dyDescent="0.25">
      <c r="A28" s="17" t="s">
        <v>125</v>
      </c>
      <c r="B28" s="7" t="s">
        <v>126</v>
      </c>
      <c r="C28" s="31">
        <f>C22*C23+C25*C26</f>
      </c>
      <c r="D28" s="31">
        <f>D22*D23+D25*D26</f>
      </c>
      <c r="E28" s="32">
        <f>C28/1000000*Assumptions!B11</f>
      </c>
      <c r="F28" s="32">
        <f>D28/1000000*Assumptions!B11</f>
      </c>
      <c r="G28" s="33">
        <f>E28*Assumptions!B5</f>
      </c>
      <c r="H28" s="33">
        <f>F28*Assumptions!B5</f>
      </c>
    </row>
    <row r="29" spans="1:8" x14ac:dyDescent="0.25">
      <c r="A29" s="17" t="s">
        <v>127</v>
      </c>
      <c r="B29" s="7" t="s">
        <v>128</v>
      </c>
      <c r="C29" s="31">
        <f>C22*C24+C25*C27</f>
      </c>
      <c r="D29" s="31">
        <f>D22*D24+D25*D27</f>
      </c>
      <c r="E29" s="32">
        <f>C29/1000000*Assumptions!B12</f>
      </c>
      <c r="F29" s="32">
        <f>D29/1000000*Assumptions!B12</f>
      </c>
      <c r="G29" s="33">
        <f>E29*Assumptions!B5</f>
      </c>
      <c r="H29" s="33">
        <f>F29*Assumptions!B5</f>
      </c>
    </row>
    <row r="30" spans="1:8" x14ac:dyDescent="0.25">
      <c r="A30" s="34" t="s">
        <v>129</v>
      </c>
      <c r="B30" s="7" t="s">
        <v>130</v>
      </c>
      <c r="C30" s="35">
        <f>C28/1000000*Assumptions!B11+C29/1000000*Assumptions!B12</f>
      </c>
      <c r="D30" s="35">
        <f>D28/1000000*Assumptions!B11+D29/1000000*Assumptions!B12</f>
      </c>
      <c r="E30" s="35">
        <f>C30</f>
      </c>
      <c r="F30" s="35">
        <f>D30</f>
      </c>
      <c r="G30" s="36">
        <f>C30*Assumptions!B5</f>
      </c>
      <c r="H30" s="36">
        <f>D30*Assumptions!B5</f>
      </c>
    </row>
    <row r="33" spans="1:8" x14ac:dyDescent="0.25">
      <c r="A33" s="3" t="s">
        <v>138</v>
      </c>
      <c r="B33" s="3"/>
      <c r="C33" s="3"/>
      <c r="D33" s="3"/>
      <c r="E33" s="3"/>
      <c r="F33" s="3"/>
      <c r="G33" s="3"/>
      <c r="H33" s="3"/>
    </row>
    <row r="34" spans="1:8" x14ac:dyDescent="0.25">
      <c r="A34" s="4" t="s">
        <v>100</v>
      </c>
      <c r="B34" s="4" t="s">
        <v>101</v>
      </c>
      <c r="C34" s="4" t="s">
        <v>102</v>
      </c>
      <c r="D34" s="4" t="s">
        <v>103</v>
      </c>
      <c r="E34" s="4" t="s">
        <v>104</v>
      </c>
      <c r="F34" s="4" t="s">
        <v>105</v>
      </c>
      <c r="G34" s="4" t="s">
        <v>106</v>
      </c>
      <c r="H34" s="4" t="s">
        <v>107</v>
      </c>
    </row>
    <row r="35" spans="1:8" x14ac:dyDescent="0.25">
      <c r="A35" s="27" t="s">
        <v>108</v>
      </c>
      <c r="B35" s="7" t="s">
        <v>109</v>
      </c>
      <c r="C35" s="23">
        <v>30</v>
      </c>
      <c r="D35" s="23">
        <v>30</v>
      </c>
      <c r="E35" s="11" t="s">
        <v>110</v>
      </c>
      <c r="F35" s="11" t="s">
        <v>110</v>
      </c>
      <c r="G35" s="11" t="s">
        <v>110</v>
      </c>
      <c r="H35" s="11" t="s">
        <v>110</v>
      </c>
    </row>
    <row r="36" spans="1:8" x14ac:dyDescent="0.25">
      <c r="A36" s="28" t="s">
        <v>111</v>
      </c>
      <c r="B36" s="7" t="s">
        <v>139</v>
      </c>
      <c r="C36" s="29">
        <f>Assumptions!B58</f>
      </c>
      <c r="D36" s="29">
        <f>Assumptions!C58</f>
      </c>
      <c r="E36" s="11" t="s">
        <v>110</v>
      </c>
      <c r="F36" s="11" t="s">
        <v>110</v>
      </c>
      <c r="G36" s="11" t="s">
        <v>110</v>
      </c>
      <c r="H36" s="11" t="s">
        <v>110</v>
      </c>
    </row>
    <row r="37" spans="1:8" x14ac:dyDescent="0.25">
      <c r="A37" s="27" t="s">
        <v>113</v>
      </c>
      <c r="B37" s="7" t="s">
        <v>114</v>
      </c>
      <c r="C37" s="30">
        <f>C36*C35</f>
      </c>
      <c r="D37" s="30">
        <f>D36*D35</f>
      </c>
      <c r="E37" s="8" t="s">
        <v>110</v>
      </c>
      <c r="F37" s="8" t="s">
        <v>110</v>
      </c>
      <c r="G37" s="8" t="s">
        <v>110</v>
      </c>
      <c r="H37" s="8" t="s">
        <v>110</v>
      </c>
    </row>
    <row r="38" spans="1:8" x14ac:dyDescent="0.25">
      <c r="A38" s="28" t="s">
        <v>115</v>
      </c>
      <c r="B38" s="7" t="s">
        <v>140</v>
      </c>
      <c r="C38" s="29">
        <f>Assumptions!B40</f>
      </c>
      <c r="D38" s="29">
        <f>Assumptions!B40</f>
      </c>
      <c r="E38" s="11" t="s">
        <v>110</v>
      </c>
      <c r="F38" s="11" t="s">
        <v>110</v>
      </c>
      <c r="G38" s="11" t="s">
        <v>110</v>
      </c>
      <c r="H38" s="11" t="s">
        <v>110</v>
      </c>
    </row>
    <row r="39" spans="1:8" x14ac:dyDescent="0.25">
      <c r="A39" s="27" t="s">
        <v>117</v>
      </c>
      <c r="B39" s="7" t="s">
        <v>141</v>
      </c>
      <c r="C39" s="30">
        <f>Assumptions!B46</f>
      </c>
      <c r="D39" s="30">
        <f>Assumptions!B46</f>
      </c>
      <c r="E39" s="8" t="s">
        <v>110</v>
      </c>
      <c r="F39" s="8" t="s">
        <v>110</v>
      </c>
      <c r="G39" s="8" t="s">
        <v>110</v>
      </c>
      <c r="H39" s="8" t="s">
        <v>110</v>
      </c>
    </row>
    <row r="40" spans="1:8" x14ac:dyDescent="0.25">
      <c r="A40" s="28" t="s">
        <v>119</v>
      </c>
      <c r="B40" s="7" t="s">
        <v>142</v>
      </c>
      <c r="C40" s="29">
        <f>Assumptions!B64</f>
      </c>
      <c r="D40" s="29">
        <f>Assumptions!C64</f>
      </c>
      <c r="E40" s="11" t="s">
        <v>110</v>
      </c>
      <c r="F40" s="11" t="s">
        <v>110</v>
      </c>
      <c r="G40" s="11" t="s">
        <v>110</v>
      </c>
      <c r="H40" s="11" t="s">
        <v>110</v>
      </c>
    </row>
    <row r="41" spans="1:8" x14ac:dyDescent="0.25">
      <c r="A41" s="27" t="s">
        <v>121</v>
      </c>
      <c r="B41" s="7" t="s">
        <v>143</v>
      </c>
      <c r="C41" s="30">
        <f>Assumptions!B52</f>
      </c>
      <c r="D41" s="30">
        <f>Assumptions!B52</f>
      </c>
      <c r="E41" s="8" t="s">
        <v>110</v>
      </c>
      <c r="F41" s="8" t="s">
        <v>110</v>
      </c>
      <c r="G41" s="8" t="s">
        <v>110</v>
      </c>
      <c r="H41" s="8" t="s">
        <v>110</v>
      </c>
    </row>
    <row r="42" spans="1:8" x14ac:dyDescent="0.25">
      <c r="A42" s="28" t="s">
        <v>123</v>
      </c>
      <c r="B42" s="7" t="s">
        <v>144</v>
      </c>
      <c r="C42" s="29">
        <f>Assumptions!C52</f>
      </c>
      <c r="D42" s="29">
        <f>Assumptions!C52</f>
      </c>
      <c r="E42" s="11" t="s">
        <v>110</v>
      </c>
      <c r="F42" s="11" t="s">
        <v>110</v>
      </c>
      <c r="G42" s="11" t="s">
        <v>110</v>
      </c>
      <c r="H42" s="11" t="s">
        <v>110</v>
      </c>
    </row>
    <row r="43" spans="1:8" x14ac:dyDescent="0.25">
      <c r="A43" s="17" t="s">
        <v>125</v>
      </c>
      <c r="B43" s="7" t="s">
        <v>126</v>
      </c>
      <c r="C43" s="31">
        <f>C37*C38+C40*C41</f>
      </c>
      <c r="D43" s="31">
        <f>D37*D38+D40*D41</f>
      </c>
      <c r="E43" s="32">
        <f>C43/1000000*Assumptions!B11</f>
      </c>
      <c r="F43" s="32">
        <f>D43/1000000*Assumptions!B11</f>
      </c>
      <c r="G43" s="33">
        <f>E43*Assumptions!B5</f>
      </c>
      <c r="H43" s="33">
        <f>F43*Assumptions!B5</f>
      </c>
    </row>
    <row r="44" spans="1:8" x14ac:dyDescent="0.25">
      <c r="A44" s="17" t="s">
        <v>127</v>
      </c>
      <c r="B44" s="7" t="s">
        <v>128</v>
      </c>
      <c r="C44" s="31">
        <f>C37*C39+C40*C42</f>
      </c>
      <c r="D44" s="31">
        <f>D37*D39+D40*D42</f>
      </c>
      <c r="E44" s="32">
        <f>C44/1000000*Assumptions!B12</f>
      </c>
      <c r="F44" s="32">
        <f>D44/1000000*Assumptions!B12</f>
      </c>
      <c r="G44" s="33">
        <f>E44*Assumptions!B5</f>
      </c>
      <c r="H44" s="33">
        <f>F44*Assumptions!B5</f>
      </c>
    </row>
    <row r="45" spans="1:8" x14ac:dyDescent="0.25">
      <c r="A45" s="34" t="s">
        <v>129</v>
      </c>
      <c r="B45" s="7" t="s">
        <v>130</v>
      </c>
      <c r="C45" s="35">
        <f>C43/1000000*Assumptions!B11+C44/1000000*Assumptions!B12</f>
      </c>
      <c r="D45" s="35">
        <f>D43/1000000*Assumptions!B11+D44/1000000*Assumptions!B12</f>
      </c>
      <c r="E45" s="35">
        <f>C45</f>
      </c>
      <c r="F45" s="35">
        <f>D45</f>
      </c>
      <c r="G45" s="36">
        <f>C45*Assumptions!B5</f>
      </c>
      <c r="H45" s="36">
        <f>D45*Assumptions!B5</f>
      </c>
    </row>
  </sheetData>
  <mergeCells count="5">
    <mergeCell ref="A1:H1"/>
    <mergeCell ref="A2:H2"/>
    <mergeCell ref="A3:H3"/>
    <mergeCell ref="A18:H18"/>
    <mergeCell ref="A33:H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showGridLines="0"/>
  </sheetViews>
  <sheetFormatPr defaultRowHeight="15" outlineLevelRow="0" outlineLevelCol="0" x14ac:dyDescent="55"/>
  <cols>
    <col min="1" max="1" width="44" customWidth="1"/>
    <col min="2" max="6" width="22" customWidth="1"/>
  </cols>
  <sheetData>
    <row r="1" ht="36" customHeight="1" spans="1:5" x14ac:dyDescent="0.25">
      <c r="A1" s="26" t="s">
        <v>145</v>
      </c>
      <c r="B1" s="26"/>
      <c r="C1" s="26"/>
      <c r="D1" s="26"/>
      <c r="E1" s="26"/>
    </row>
    <row r="2" spans="1:5" x14ac:dyDescent="0.25">
      <c r="A2" s="2" t="s">
        <v>146</v>
      </c>
      <c r="B2" s="2"/>
      <c r="C2" s="2"/>
      <c r="D2" s="2"/>
      <c r="E2" s="2"/>
    </row>
    <row r="3" spans="1:5" x14ac:dyDescent="0.25">
      <c r="A3" s="3" t="s">
        <v>147</v>
      </c>
      <c r="B3" s="3"/>
      <c r="C3" s="3"/>
      <c r="D3" s="3"/>
      <c r="E3" s="3"/>
    </row>
    <row r="4" spans="1:5" x14ac:dyDescent="0.25">
      <c r="A4" s="4" t="s">
        <v>29</v>
      </c>
      <c r="B4" s="4" t="s">
        <v>148</v>
      </c>
      <c r="C4" s="4" t="s">
        <v>149</v>
      </c>
      <c r="D4" s="4" t="s">
        <v>150</v>
      </c>
      <c r="E4" s="4" t="s">
        <v>151</v>
      </c>
    </row>
    <row r="5" spans="1:5" x14ac:dyDescent="0.25">
      <c r="A5" s="27" t="s">
        <v>152</v>
      </c>
      <c r="B5" s="37">
        <f>Assumptions!B23*1</f>
      </c>
      <c r="C5" s="37">
        <f>Assumptions!B23*1</f>
      </c>
      <c r="D5" s="37">
        <f>Assumptions!B23*2</f>
      </c>
      <c r="E5" s="37">
        <f>Assumptions!B23*3</f>
      </c>
    </row>
    <row r="6" spans="1:5" x14ac:dyDescent="0.25">
      <c r="A6" s="28" t="s">
        <v>33</v>
      </c>
      <c r="B6" s="38">
        <f>Assumptions!B24</f>
      </c>
      <c r="C6" s="38">
        <f>Assumptions!B24</f>
      </c>
      <c r="D6" s="38">
        <f>Assumptions!B24</f>
      </c>
      <c r="E6" s="38">
        <f>Assumptions!B24</f>
      </c>
    </row>
    <row r="7" spans="1:5" x14ac:dyDescent="0.25">
      <c r="A7" s="27" t="s">
        <v>153</v>
      </c>
      <c r="B7" s="37">
        <f>Assumptions!B25+(0.5*Assumptions!B32+0.35*Assumptions!B33+0.15*Assumptions!B34)*100*Assumptions!B26</f>
      </c>
      <c r="C7" s="37">
        <f>Assumptions!B25+(0.5*Assumptions!B32+0.35*Assumptions!B33+0.15*Assumptions!B34)*500*Assumptions!B26</f>
      </c>
      <c r="D7" s="37">
        <f>Assumptions!B25+(0.5*Assumptions!B32+0.35*Assumptions!B33+0.15*Assumptions!B34)*1000*Assumptions!B26</f>
      </c>
      <c r="E7" s="37">
        <f>Assumptions!B25+(0.5*Assumptions!B32+0.35*Assumptions!B33+0.15*Assumptions!B34)*2000*Assumptions!B26</f>
      </c>
    </row>
    <row r="8" spans="1:5" x14ac:dyDescent="0.25">
      <c r="A8" s="28" t="s">
        <v>39</v>
      </c>
      <c r="B8" s="38">
        <f>Assumptions!B27*1</f>
      </c>
      <c r="C8" s="38">
        <f>Assumptions!B27*1</f>
      </c>
      <c r="D8" s="38">
        <f>Assumptions!B27*2</f>
      </c>
      <c r="E8" s="38">
        <f>Assumptions!B27*2</f>
      </c>
    </row>
    <row r="9" spans="1:5" x14ac:dyDescent="0.25">
      <c r="A9" s="27" t="s">
        <v>41</v>
      </c>
      <c r="B9" s="37">
        <f>Assumptions!B28*1</f>
      </c>
      <c r="C9" s="37">
        <f>Assumptions!B28*1</f>
      </c>
      <c r="D9" s="37">
        <f>Assumptions!B28*1</f>
      </c>
      <c r="E9" s="37">
        <f>Assumptions!B28*2</f>
      </c>
    </row>
    <row r="10" spans="1:5" x14ac:dyDescent="0.25">
      <c r="A10" s="17" t="s">
        <v>154</v>
      </c>
      <c r="B10" s="18">
        <f>SUM(B5:B9)</f>
      </c>
      <c r="C10" s="18">
        <f>SUM(C5:C9)</f>
      </c>
      <c r="D10" s="18">
        <f>SUM(D5:D9)</f>
      </c>
      <c r="E10" s="18">
        <f>SUM(E5:E9)</f>
      </c>
    </row>
    <row r="12" spans="1:5" x14ac:dyDescent="0.25">
      <c r="A12" s="3" t="s">
        <v>155</v>
      </c>
      <c r="B12" s="3"/>
      <c r="C12" s="3"/>
      <c r="D12" s="3"/>
      <c r="E12" s="3"/>
    </row>
    <row r="13" spans="1:5" x14ac:dyDescent="0.25">
      <c r="A13" s="4" t="s">
        <v>100</v>
      </c>
      <c r="B13" s="4" t="s">
        <v>148</v>
      </c>
      <c r="C13" s="4" t="s">
        <v>149</v>
      </c>
      <c r="D13" s="4" t="s">
        <v>150</v>
      </c>
      <c r="E13" s="4" t="s">
        <v>151</v>
      </c>
    </row>
    <row r="14" spans="1:5" x14ac:dyDescent="0.25">
      <c r="A14" s="34" t="s">
        <v>156</v>
      </c>
      <c r="B14" s="35">
        <f>B10/100</f>
      </c>
      <c r="C14" s="35">
        <f>C10/500</f>
      </c>
      <c r="D14" s="35">
        <f>D10/1000</f>
      </c>
      <c r="E14" s="35">
        <f>E10/2000</f>
      </c>
    </row>
    <row r="15" spans="1:5" x14ac:dyDescent="0.25">
      <c r="A15" s="34" t="s">
        <v>157</v>
      </c>
      <c r="B15" s="36">
        <f>B14*Assumptions!B5</f>
      </c>
      <c r="C15" s="36">
        <f>C14*Assumptions!B5</f>
      </c>
      <c r="D15" s="36">
        <f>D14*Assumptions!B5</f>
      </c>
      <c r="E15" s="36">
        <f>E14*Assumptions!B5</f>
      </c>
    </row>
    <row r="17" spans="1:4" x14ac:dyDescent="0.25">
      <c r="A17" s="3" t="s">
        <v>158</v>
      </c>
      <c r="B17" s="3"/>
      <c r="C17" s="3"/>
      <c r="D17" s="3"/>
    </row>
    <row r="18" spans="1:4" x14ac:dyDescent="0.25">
      <c r="A18" s="4" t="s">
        <v>46</v>
      </c>
      <c r="B18" s="4" t="s">
        <v>159</v>
      </c>
      <c r="C18" s="4" t="s">
        <v>160</v>
      </c>
      <c r="D18" s="4" t="s">
        <v>161</v>
      </c>
    </row>
    <row r="19" spans="1:4" x14ac:dyDescent="0.25">
      <c r="A19" s="27" t="s">
        <v>64</v>
      </c>
      <c r="B19" s="39">
        <f>Assumptions!B32</f>
      </c>
      <c r="C19" s="40">
        <f>B19*Assumptions!B26</f>
      </c>
      <c r="D19" s="41">
        <f>C19*Assumptions!B5</f>
      </c>
    </row>
    <row r="20" spans="1:4" x14ac:dyDescent="0.25">
      <c r="A20" s="28" t="s">
        <v>66</v>
      </c>
      <c r="B20" s="42">
        <f>Assumptions!B33</f>
      </c>
      <c r="C20" s="43">
        <f>B20*Assumptions!B26</f>
      </c>
      <c r="D20" s="44">
        <f>C20*Assumptions!B5</f>
      </c>
    </row>
    <row r="21" spans="1:4" x14ac:dyDescent="0.25">
      <c r="A21" s="27" t="s">
        <v>68</v>
      </c>
      <c r="B21" s="39">
        <f>Assumptions!B34</f>
      </c>
      <c r="C21" s="40">
        <f>B21*Assumptions!B26</f>
      </c>
      <c r="D21" s="41">
        <f>C21*Assumptions!B5</f>
      </c>
    </row>
  </sheetData>
  <mergeCells count="5">
    <mergeCell ref="A1:E1"/>
    <mergeCell ref="A2:E2"/>
    <mergeCell ref="A3:E3"/>
    <mergeCell ref="A12:E12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22" customWidth="1"/>
  </cols>
  <sheetData>
    <row r="1" ht="36" customHeight="1" spans="1:7" x14ac:dyDescent="0.25">
      <c r="A1" s="26" t="s">
        <v>162</v>
      </c>
      <c r="B1" s="26"/>
      <c r="C1" s="26"/>
      <c r="D1" s="26"/>
      <c r="E1" s="26"/>
      <c r="F1" s="26"/>
      <c r="G1" s="26"/>
    </row>
    <row r="2" spans="1:7" x14ac:dyDescent="0.25">
      <c r="A2" s="2" t="s">
        <v>163</v>
      </c>
      <c r="B2" s="2"/>
      <c r="C2" s="2"/>
      <c r="D2" s="2"/>
      <c r="E2" s="2"/>
      <c r="F2" s="2"/>
      <c r="G2" s="2"/>
    </row>
    <row r="3" spans="1:7" x14ac:dyDescent="0.25">
      <c r="A3" s="3" t="s">
        <v>164</v>
      </c>
      <c r="B3" s="3"/>
      <c r="C3" s="3"/>
      <c r="D3" s="3"/>
      <c r="E3" s="3"/>
      <c r="F3" s="3"/>
      <c r="G3" s="3"/>
    </row>
    <row r="4" spans="1:7" x14ac:dyDescent="0.25">
      <c r="A4" s="4" t="s">
        <v>46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</row>
    <row r="5" spans="1:7" x14ac:dyDescent="0.25">
      <c r="A5" s="27" t="s">
        <v>64</v>
      </c>
      <c r="B5" s="45">
        <v>29.9</v>
      </c>
      <c r="C5" s="46">
        <f>B5*Assumptions!B16</f>
      </c>
      <c r="D5" s="46">
        <f>Assumptions!B17</f>
      </c>
      <c r="E5" s="47">
        <f>C5+D5</f>
      </c>
      <c r="F5" s="48">
        <f>IF(B5&gt;0,E5/B5,0)</f>
      </c>
      <c r="G5" s="46">
        <f>B5-E5</f>
      </c>
    </row>
    <row r="6" spans="1:7" x14ac:dyDescent="0.25">
      <c r="A6" s="28" t="s">
        <v>66</v>
      </c>
      <c r="B6" s="16">
        <v>59.9</v>
      </c>
      <c r="C6" s="49">
        <f>B6*Assumptions!B16</f>
      </c>
      <c r="D6" s="49">
        <f>Assumptions!B17</f>
      </c>
      <c r="E6" s="50">
        <f>C6+D6</f>
      </c>
      <c r="F6" s="12">
        <f>IF(B6&gt;0,E6/B6,0)</f>
      </c>
      <c r="G6" s="49">
        <f>B6-E6</f>
      </c>
    </row>
    <row r="7" spans="1:7" x14ac:dyDescent="0.25">
      <c r="A7" s="27" t="s">
        <v>68</v>
      </c>
      <c r="B7" s="45">
        <v>99.9</v>
      </c>
      <c r="C7" s="46">
        <f>B7*Assumptions!B16</f>
      </c>
      <c r="D7" s="46">
        <f>Assumptions!B17</f>
      </c>
      <c r="E7" s="47">
        <f>C7+D7</f>
      </c>
      <c r="F7" s="48">
        <f>IF(B7&gt;0,E7/B7,0)</f>
      </c>
      <c r="G7" s="46">
        <f>B7-E7</f>
      </c>
    </row>
    <row r="9" spans="1:7" x14ac:dyDescent="0.25">
      <c r="A9" s="3" t="s">
        <v>171</v>
      </c>
      <c r="B9" s="3"/>
      <c r="C9" s="3"/>
      <c r="D9" s="3"/>
      <c r="E9" s="3"/>
      <c r="F9" s="3"/>
      <c r="G9" s="3"/>
    </row>
    <row r="10" spans="1:7" x14ac:dyDescent="0.25">
      <c r="A10" s="4" t="s">
        <v>46</v>
      </c>
      <c r="B10" s="4" t="s">
        <v>172</v>
      </c>
      <c r="C10" s="4" t="s">
        <v>166</v>
      </c>
      <c r="D10" s="4" t="s">
        <v>167</v>
      </c>
      <c r="E10" s="4" t="s">
        <v>173</v>
      </c>
      <c r="F10" s="4" t="s">
        <v>174</v>
      </c>
      <c r="G10" s="4" t="s">
        <v>175</v>
      </c>
    </row>
    <row r="11" spans="1:7" x14ac:dyDescent="0.25">
      <c r="A11" s="27" t="s">
        <v>64</v>
      </c>
      <c r="B11" s="46">
        <f>Stripe_Costs!B5*12*(1-Assumptions!B70)</f>
      </c>
      <c r="C11" s="46">
        <f>B11*Assumptions!B16</f>
      </c>
      <c r="D11" s="46">
        <f>Assumptions!B17</f>
      </c>
      <c r="E11" s="47">
        <f>C11+D11</f>
      </c>
      <c r="F11" s="47">
        <f>E11/12</f>
      </c>
      <c r="G11" s="48">
        <f>IF(B11&gt;0,F11/(B11/12),0)</f>
      </c>
    </row>
    <row r="12" spans="1:7" x14ac:dyDescent="0.25">
      <c r="A12" s="28" t="s">
        <v>66</v>
      </c>
      <c r="B12" s="49">
        <f>Stripe_Costs!B6*12*(1-Assumptions!B70)</f>
      </c>
      <c r="C12" s="49">
        <f>B12*Assumptions!B16</f>
      </c>
      <c r="D12" s="49">
        <f>Assumptions!B17</f>
      </c>
      <c r="E12" s="50">
        <f>C12+D12</f>
      </c>
      <c r="F12" s="50">
        <f>E12/12</f>
      </c>
      <c r="G12" s="12">
        <f>IF(B12&gt;0,F12/(B12/12),0)</f>
      </c>
    </row>
    <row r="13" spans="1:7" x14ac:dyDescent="0.25">
      <c r="A13" s="27" t="s">
        <v>68</v>
      </c>
      <c r="B13" s="46">
        <f>Stripe_Costs!B7*12*(1-Assumptions!B70)</f>
      </c>
      <c r="C13" s="46">
        <f>B13*Assumptions!B16</f>
      </c>
      <c r="D13" s="46">
        <f>Assumptions!B17</f>
      </c>
      <c r="E13" s="47">
        <f>C13+D13</f>
      </c>
      <c r="F13" s="47">
        <f>E13/12</f>
      </c>
      <c r="G13" s="48">
        <f>IF(B13&gt;0,F13/(B13/12),0)</f>
      </c>
    </row>
  </sheetData>
  <mergeCells count="4">
    <mergeCell ref="A1:G1"/>
    <mergeCell ref="A2:G2"/>
    <mergeCell ref="A3:G3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/>
  </sheetViews>
  <sheetFormatPr defaultRowHeight="15" outlineLevelRow="0" outlineLevelCol="0" x14ac:dyDescent="55"/>
  <cols>
    <col min="1" max="1" width="44" customWidth="1"/>
    <col min="2" max="8" width="20" customWidth="1"/>
  </cols>
  <sheetData>
    <row r="1" ht="36" customHeight="1" spans="1:8" x14ac:dyDescent="0.25">
      <c r="A1" s="26" t="s">
        <v>176</v>
      </c>
      <c r="B1" s="26"/>
      <c r="C1" s="26"/>
      <c r="D1" s="26"/>
      <c r="E1" s="26"/>
      <c r="F1" s="26"/>
      <c r="G1" s="26"/>
      <c r="H1" s="26"/>
    </row>
    <row r="2" spans="1:8" x14ac:dyDescent="0.25">
      <c r="A2" s="2" t="s">
        <v>177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178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179</v>
      </c>
      <c r="B4" s="4" t="s">
        <v>180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15</v>
      </c>
    </row>
    <row r="5" spans="1:8" x14ac:dyDescent="0.25">
      <c r="A5" s="27" t="s">
        <v>186</v>
      </c>
      <c r="B5" s="51">
        <f>Token_Costs!D15</f>
      </c>
      <c r="C5" s="41">
        <f>Token_Costs!D15*Assumptions!B5</f>
      </c>
      <c r="D5" s="51">
        <f>Token_Costs!D30</f>
      </c>
      <c r="E5" s="41">
        <f>Token_Costs!D30*Assumptions!B5</f>
      </c>
      <c r="F5" s="51">
        <f>Token_Costs!D45</f>
      </c>
      <c r="G5" s="41">
        <f>Token_Costs!D45*Assumptions!B5</f>
      </c>
      <c r="H5" s="7" t="s">
        <v>187</v>
      </c>
    </row>
    <row r="6" spans="1:8" x14ac:dyDescent="0.25">
      <c r="A6" s="28" t="s">
        <v>188</v>
      </c>
      <c r="B6" s="52">
        <f>Infra_Costs!D14</f>
      </c>
      <c r="C6" s="44">
        <f>Infra_Costs!D14*Assumptions!B5</f>
      </c>
      <c r="D6" s="52">
        <f>Infra_Costs!D14</f>
      </c>
      <c r="E6" s="44">
        <f>Infra_Costs!D14*Assumptions!B5</f>
      </c>
      <c r="F6" s="52">
        <f>Infra_Costs!D14</f>
      </c>
      <c r="G6" s="44">
        <f>Infra_Costs!D14*Assumptions!B5</f>
      </c>
      <c r="H6" s="7" t="s">
        <v>189</v>
      </c>
    </row>
    <row r="7" spans="1:8" x14ac:dyDescent="0.25">
      <c r="A7" s="27" t="s">
        <v>190</v>
      </c>
      <c r="B7" s="51">
        <f>Infra_Costs!C19</f>
      </c>
      <c r="C7" s="41">
        <f>B7*Assumptions!B5</f>
      </c>
      <c r="D7" s="51">
        <f>Infra_Costs!C20</f>
      </c>
      <c r="E7" s="41">
        <f>D7*Assumptions!B5</f>
      </c>
      <c r="F7" s="51">
        <f>Infra_Costs!C21</f>
      </c>
      <c r="G7" s="41">
        <f>F7*Assumptions!B5</f>
      </c>
      <c r="H7" s="7" t="s">
        <v>191</v>
      </c>
    </row>
    <row r="8" spans="1:8" x14ac:dyDescent="0.25">
      <c r="A8" s="28" t="s">
        <v>192</v>
      </c>
      <c r="B8" s="52">
        <f>C8/Assumptions!B5</f>
      </c>
      <c r="C8" s="44">
        <f>Stripe_Costs!E5</f>
      </c>
      <c r="D8" s="52">
        <f>E8/Assumptions!B5</f>
      </c>
      <c r="E8" s="44">
        <f>Stripe_Costs!E6</f>
      </c>
      <c r="F8" s="52">
        <f>G8/Assumptions!B5</f>
      </c>
      <c r="G8" s="44">
        <f>Stripe_Costs!E7</f>
      </c>
      <c r="H8" s="7" t="s">
        <v>193</v>
      </c>
    </row>
    <row r="9" spans="1:8" x14ac:dyDescent="0.25">
      <c r="A9" s="17" t="s">
        <v>194</v>
      </c>
      <c r="B9" s="53">
        <f>B5+B6+B7+B8</f>
      </c>
      <c r="C9" s="54">
        <f>B9*Assumptions!B5</f>
      </c>
      <c r="D9" s="53">
        <f>D5+D6+D7+D8</f>
      </c>
      <c r="E9" s="54">
        <f>D9*Assumptions!B5</f>
      </c>
      <c r="F9" s="53">
        <f>F5+F6+F7+F8</f>
      </c>
      <c r="G9" s="54">
        <f>F9*Assumptions!B5</f>
      </c>
      <c r="H9" s="7" t="s">
        <v>195</v>
      </c>
    </row>
    <row r="11" spans="1:8" x14ac:dyDescent="0.25">
      <c r="A11" s="3" t="s">
        <v>196</v>
      </c>
      <c r="B11" s="3"/>
      <c r="C11" s="3"/>
      <c r="D11" s="3"/>
      <c r="E11" s="3"/>
      <c r="F11" s="3"/>
      <c r="G11" s="3"/>
      <c r="H11" s="3"/>
    </row>
    <row r="12" spans="1:8" x14ac:dyDescent="0.25">
      <c r="A12" s="4" t="s">
        <v>3</v>
      </c>
      <c r="B12" s="4" t="s">
        <v>197</v>
      </c>
      <c r="C12" s="4" t="s">
        <v>198</v>
      </c>
      <c r="D12" s="4" t="s">
        <v>199</v>
      </c>
      <c r="E12" s="4" t="s">
        <v>200</v>
      </c>
      <c r="F12" s="4" t="s">
        <v>201</v>
      </c>
      <c r="G12" s="4" t="s">
        <v>202</v>
      </c>
      <c r="H12" s="4" t="s">
        <v>15</v>
      </c>
    </row>
    <row r="13" spans="1:8" x14ac:dyDescent="0.25">
      <c r="A13" s="55" t="s">
        <v>203</v>
      </c>
      <c r="B13" s="56">
        <v>29.9</v>
      </c>
      <c r="C13" s="57">
        <f>B13/Assumptions!B5</f>
      </c>
      <c r="D13" s="56">
        <v>59.9</v>
      </c>
      <c r="E13" s="57">
        <f>D13/Assumptions!B5</f>
      </c>
      <c r="F13" s="56">
        <v>99.9</v>
      </c>
      <c r="G13" s="57">
        <f>F13/Assumptions!B5</f>
      </c>
      <c r="H13" s="7" t="s">
        <v>204</v>
      </c>
    </row>
    <row r="14" spans="1:8" x14ac:dyDescent="0.25">
      <c r="A14" s="34" t="s">
        <v>205</v>
      </c>
      <c r="B14" s="58">
        <f>IF(B13&gt;0,(B13-C9)/B13,0)</f>
      </c>
      <c r="C14" s="59" t="s">
        <v>206</v>
      </c>
      <c r="D14" s="58">
        <f>IF(D13&gt;0,(D13-E9)/D13,0)</f>
      </c>
      <c r="E14" s="59" t="s">
        <v>206</v>
      </c>
      <c r="F14" s="58">
        <f>IF(F13&gt;0,(F13-G9)/F13,0)</f>
      </c>
      <c r="G14" s="59" t="s">
        <v>206</v>
      </c>
      <c r="H14" s="7" t="s">
        <v>207</v>
      </c>
    </row>
    <row r="15" spans="1:7" x14ac:dyDescent="0.25">
      <c r="A15" s="60" t="s">
        <v>208</v>
      </c>
      <c r="B15" s="50">
        <f>B13-(Stripe_Costs!E5)</f>
      </c>
      <c r="C15" s="28" t="s">
        <v>209</v>
      </c>
      <c r="D15" s="50">
        <f>D13-(Stripe_Costs!E6)</f>
      </c>
      <c r="E15" s="28" t="s">
        <v>209</v>
      </c>
      <c r="F15" s="50">
        <f>F13-(Stripe_Costs!E7)</f>
      </c>
      <c r="G15" s="28" t="s">
        <v>209</v>
      </c>
    </row>
    <row r="16" spans="1:8" x14ac:dyDescent="0.25">
      <c r="A16" s="27" t="s">
        <v>210</v>
      </c>
      <c r="B16" s="46">
        <f>B13*12*(1-Assumptions!B70)</f>
      </c>
      <c r="C16" s="37">
        <f>B16/Assumptions!B5</f>
      </c>
      <c r="D16" s="46">
        <f>D13*12*(1-Assumptions!B70)</f>
      </c>
      <c r="E16" s="37">
        <f>D16/Assumptions!B5</f>
      </c>
      <c r="F16" s="46">
        <f>F13*12*(1-Assumptions!B70)</f>
      </c>
      <c r="G16" s="37">
        <f>F16/Assumptions!B5</f>
      </c>
      <c r="H16" s="7" t="s">
        <v>211</v>
      </c>
    </row>
    <row r="17" spans="1:7" x14ac:dyDescent="0.25">
      <c r="A17" s="27" t="s">
        <v>212</v>
      </c>
      <c r="B17" s="46">
        <f>B16/12</f>
      </c>
      <c r="C17" s="37">
        <f>B17/Assumptions!B5</f>
      </c>
      <c r="D17" s="46">
        <f>D16/12</f>
      </c>
      <c r="E17" s="37">
        <f>D17/Assumptions!B5</f>
      </c>
      <c r="F17" s="46">
        <f>F16/12</f>
      </c>
      <c r="G17" s="37">
        <f>F17/Assumptions!B5</f>
      </c>
    </row>
    <row r="19" spans="1:8" x14ac:dyDescent="0.25">
      <c r="A19" s="3" t="s">
        <v>213</v>
      </c>
      <c r="B19" s="3"/>
      <c r="C19" s="3"/>
      <c r="D19" s="3"/>
      <c r="E19" s="3"/>
      <c r="F19" s="3"/>
      <c r="G19" s="3"/>
      <c r="H19" s="3"/>
    </row>
    <row r="20" spans="1:5" x14ac:dyDescent="0.25">
      <c r="A20" s="4" t="s">
        <v>214</v>
      </c>
      <c r="B20" s="4" t="s">
        <v>215</v>
      </c>
      <c r="C20" s="4" t="s">
        <v>216</v>
      </c>
      <c r="D20" s="4" t="s">
        <v>217</v>
      </c>
      <c r="E20" s="4" t="s">
        <v>218</v>
      </c>
    </row>
    <row r="21" spans="1:5" x14ac:dyDescent="0.25">
      <c r="A21" s="27" t="s">
        <v>64</v>
      </c>
      <c r="B21" s="61">
        <f>IF(B13&gt;0,(B13-((Token_Costs!D15+Infra_Costs!B14+Infra_Costs!C19)*Assumptions!B5+(Stripe_Costs!E5)))/B13,0)</f>
      </c>
      <c r="C21" s="61">
        <f>IF(B13&gt;0,(B13-((Token_Costs!D15+Infra_Costs!C14+Infra_Costs!C19)*Assumptions!B5+(Stripe_Costs!E5)))/B13,0)</f>
      </c>
      <c r="D21" s="61">
        <f>IF(B13&gt;0,(B13-((Token_Costs!D15+Infra_Costs!D14+Infra_Costs!C19)*Assumptions!B5+(Stripe_Costs!E5)))/B13,0)</f>
      </c>
      <c r="E21" s="61">
        <f>IF(B13&gt;0,(B13-((Token_Costs!D15+Infra_Costs!E14+Infra_Costs!C19)*Assumptions!B5+(Stripe_Costs!E5)))/B13,0)</f>
      </c>
    </row>
    <row r="22" spans="1:5" x14ac:dyDescent="0.25">
      <c r="A22" s="28" t="s">
        <v>66</v>
      </c>
      <c r="B22" s="62">
        <f>IF(D13&gt;0,(D13-((Token_Costs!D30+Infra_Costs!B14+Infra_Costs!C20)*Assumptions!B5+(Stripe_Costs!E6)))/D13,0)</f>
      </c>
      <c r="C22" s="62">
        <f>IF(D13&gt;0,(D13-((Token_Costs!D30+Infra_Costs!C14+Infra_Costs!C20)*Assumptions!B5+(Stripe_Costs!E6)))/D13,0)</f>
      </c>
      <c r="D22" s="62">
        <f>IF(D13&gt;0,(D13-((Token_Costs!D30+Infra_Costs!D14+Infra_Costs!C20)*Assumptions!B5+(Stripe_Costs!E6)))/D13,0)</f>
      </c>
      <c r="E22" s="62">
        <f>IF(D13&gt;0,(D13-((Token_Costs!D30+Infra_Costs!E14+Infra_Costs!C20)*Assumptions!B5+(Stripe_Costs!E6)))/D13,0)</f>
      </c>
    </row>
    <row r="23" spans="1:5" x14ac:dyDescent="0.25">
      <c r="A23" s="27" t="s">
        <v>68</v>
      </c>
      <c r="B23" s="61">
        <f>IF(F13&gt;0,(F13-((Token_Costs!D45+Infra_Costs!B14+Infra_Costs!C21)*Assumptions!B5+(Stripe_Costs!E7)))/F13,0)</f>
      </c>
      <c r="C23" s="61">
        <f>IF(F13&gt;0,(F13-((Token_Costs!D45+Infra_Costs!C14+Infra_Costs!C21)*Assumptions!B5+(Stripe_Costs!E7)))/F13,0)</f>
      </c>
      <c r="D23" s="61">
        <f>IF(F13&gt;0,(F13-((Token_Costs!D45+Infra_Costs!D14+Infra_Costs!C21)*Assumptions!B5+(Stripe_Costs!E7)))/F13,0)</f>
      </c>
      <c r="E23" s="61">
        <f>IF(F13&gt;0,(F13-((Token_Costs!D45+Infra_Costs!E14+Infra_Costs!C21)*Assumptions!B5+(Stripe_Costs!E7)))/F13,0)</f>
      </c>
    </row>
  </sheetData>
  <mergeCells count="5">
    <mergeCell ref="A1:H1"/>
    <mergeCell ref="A2:H2"/>
    <mergeCell ref="A3:H3"/>
    <mergeCell ref="A11:H11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showGridLines="0"/>
  </sheetViews>
  <sheetFormatPr defaultRowHeight="15" outlineLevelRow="0" outlineLevelCol="0" x14ac:dyDescent="55"/>
  <cols>
    <col min="1" max="1" width="38" customWidth="1"/>
    <col min="2" max="11" width="19" customWidth="1"/>
  </cols>
  <sheetData>
    <row r="1" ht="36" customHeight="1" spans="1:11" x14ac:dyDescent="0.25">
      <c r="A1" s="26" t="s">
        <v>219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4" x14ac:dyDescent="0.25">
      <c r="A3" s="3" t="s">
        <v>221</v>
      </c>
      <c r="B3" s="3"/>
      <c r="C3" s="3"/>
      <c r="D3" s="3"/>
    </row>
    <row r="4" spans="1:4" x14ac:dyDescent="0.25">
      <c r="A4" s="4" t="s">
        <v>46</v>
      </c>
      <c r="B4" s="4" t="s">
        <v>222</v>
      </c>
      <c r="C4" s="4" t="s">
        <v>223</v>
      </c>
      <c r="D4" s="4" t="s">
        <v>15</v>
      </c>
    </row>
    <row r="5" spans="1:3" x14ac:dyDescent="0.25">
      <c r="A5" s="28" t="s">
        <v>64</v>
      </c>
      <c r="B5" s="25">
        <v>0.5</v>
      </c>
      <c r="C5" s="63" t="s">
        <v>224</v>
      </c>
    </row>
    <row r="6" spans="1:3" x14ac:dyDescent="0.25">
      <c r="A6" s="28" t="s">
        <v>66</v>
      </c>
      <c r="B6" s="25">
        <v>0.35</v>
      </c>
      <c r="C6" s="62">
        <f>B5+B6+B7</f>
      </c>
    </row>
    <row r="7" spans="1:2" x14ac:dyDescent="0.25">
      <c r="A7" s="28" t="s">
        <v>68</v>
      </c>
      <c r="B7" s="25">
        <v>0.15</v>
      </c>
    </row>
    <row r="9" spans="1:11" x14ac:dyDescent="0.25">
      <c r="A9" s="3" t="s">
        <v>225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4" t="s">
        <v>100</v>
      </c>
      <c r="B10" s="4" t="s">
        <v>215</v>
      </c>
      <c r="C10" s="4" t="s">
        <v>226</v>
      </c>
      <c r="D10" s="4" t="s">
        <v>216</v>
      </c>
      <c r="E10" s="4" t="s">
        <v>217</v>
      </c>
      <c r="F10" s="4" t="s">
        <v>227</v>
      </c>
      <c r="G10" s="4" t="s">
        <v>218</v>
      </c>
      <c r="H10" s="4" t="s">
        <v>228</v>
      </c>
      <c r="I10" s="4" t="s">
        <v>229</v>
      </c>
      <c r="J10" s="4" t="s">
        <v>230</v>
      </c>
      <c r="K10" s="4" t="s">
        <v>15</v>
      </c>
    </row>
    <row r="11" spans="1:10" x14ac:dyDescent="0.25">
      <c r="A11" s="27" t="s">
        <v>231</v>
      </c>
      <c r="B11" s="30">
        <f>ROUND(100*B5,0)</f>
      </c>
      <c r="C11" s="30">
        <f>ROUND(250*B5,0)</f>
      </c>
      <c r="D11" s="30">
        <f>ROUND(500*B5,0)</f>
      </c>
      <c r="E11" s="30">
        <f>ROUND(1000*B5,0)</f>
      </c>
      <c r="F11" s="30">
        <f>ROUND(1500*B5,0)</f>
      </c>
      <c r="G11" s="30">
        <f>ROUND(2000*B5,0)</f>
      </c>
      <c r="H11" s="30">
        <f>ROUND(3000*B5,0)</f>
      </c>
      <c r="I11" s="30">
        <f>ROUND(5000*B5,0)</f>
      </c>
      <c r="J11" s="30">
        <f>ROUND(10000*B5,0)</f>
      </c>
    </row>
    <row r="12" spans="1:10" x14ac:dyDescent="0.25">
      <c r="A12" s="28" t="s">
        <v>232</v>
      </c>
      <c r="B12" s="29">
        <f>ROUND(100*B6,0)</f>
      </c>
      <c r="C12" s="29">
        <f>ROUND(250*B6,0)</f>
      </c>
      <c r="D12" s="29">
        <f>ROUND(500*B6,0)</f>
      </c>
      <c r="E12" s="29">
        <f>ROUND(1000*B6,0)</f>
      </c>
      <c r="F12" s="29">
        <f>ROUND(1500*B6,0)</f>
      </c>
      <c r="G12" s="29">
        <f>ROUND(2000*B6,0)</f>
      </c>
      <c r="H12" s="29">
        <f>ROUND(3000*B6,0)</f>
      </c>
      <c r="I12" s="29">
        <f>ROUND(5000*B6,0)</f>
      </c>
      <c r="J12" s="29">
        <f>ROUND(10000*B6,0)</f>
      </c>
    </row>
    <row r="13" spans="1:10" x14ac:dyDescent="0.25">
      <c r="A13" s="27" t="s">
        <v>233</v>
      </c>
      <c r="B13" s="30">
        <f>ROUND(100*B7,0)</f>
      </c>
      <c r="C13" s="30">
        <f>ROUND(250*B7,0)</f>
      </c>
      <c r="D13" s="30">
        <f>ROUND(500*B7,0)</f>
      </c>
      <c r="E13" s="30">
        <f>ROUND(1000*B7,0)</f>
      </c>
      <c r="F13" s="30">
        <f>ROUND(1500*B7,0)</f>
      </c>
      <c r="G13" s="30">
        <f>ROUND(2000*B7,0)</f>
      </c>
      <c r="H13" s="30">
        <f>ROUND(3000*B7,0)</f>
      </c>
      <c r="I13" s="30">
        <f>ROUND(5000*B7,0)</f>
      </c>
      <c r="J13" s="30">
        <f>ROUND(10000*B7,0)</f>
      </c>
    </row>
    <row r="14" spans="1:10" x14ac:dyDescent="0.25">
      <c r="A14" s="60" t="s">
        <v>234</v>
      </c>
      <c r="B14" s="49">
        <f>B11*Unit_Economics!B13</f>
      </c>
      <c r="C14" s="49">
        <f>C11*Unit_Economics!B13</f>
      </c>
      <c r="D14" s="49">
        <f>D11*Unit_Economics!B13</f>
      </c>
      <c r="E14" s="49">
        <f>E11*Unit_Economics!B13</f>
      </c>
      <c r="F14" s="49">
        <f>F11*Unit_Economics!B13</f>
      </c>
      <c r="G14" s="49">
        <f>G11*Unit_Economics!B13</f>
      </c>
      <c r="H14" s="49">
        <f>H11*Unit_Economics!B13</f>
      </c>
      <c r="I14" s="49">
        <f>I11*Unit_Economics!B13</f>
      </c>
      <c r="J14" s="49">
        <f>J11*Unit_Economics!B13</f>
      </c>
    </row>
    <row r="15" spans="1:10" x14ac:dyDescent="0.25">
      <c r="A15" s="60" t="s">
        <v>235</v>
      </c>
      <c r="B15" s="49">
        <f>B12*Unit_Economics!D13</f>
      </c>
      <c r="C15" s="49">
        <f>C12*Unit_Economics!D13</f>
      </c>
      <c r="D15" s="49">
        <f>D12*Unit_Economics!D13</f>
      </c>
      <c r="E15" s="49">
        <f>E12*Unit_Economics!D13</f>
      </c>
      <c r="F15" s="49">
        <f>F12*Unit_Economics!D13</f>
      </c>
      <c r="G15" s="49">
        <f>G12*Unit_Economics!D13</f>
      </c>
      <c r="H15" s="49">
        <f>H12*Unit_Economics!D13</f>
      </c>
      <c r="I15" s="49">
        <f>I12*Unit_Economics!D13</f>
      </c>
      <c r="J15" s="49">
        <f>J12*Unit_Economics!D13</f>
      </c>
    </row>
    <row r="16" spans="1:10" x14ac:dyDescent="0.25">
      <c r="A16" s="60" t="s">
        <v>236</v>
      </c>
      <c r="B16" s="49">
        <f>B13*Unit_Economics!F13</f>
      </c>
      <c r="C16" s="49">
        <f>C13*Unit_Economics!F13</f>
      </c>
      <c r="D16" s="49">
        <f>D13*Unit_Economics!F13</f>
      </c>
      <c r="E16" s="49">
        <f>E13*Unit_Economics!F13</f>
      </c>
      <c r="F16" s="49">
        <f>F13*Unit_Economics!F13</f>
      </c>
      <c r="G16" s="49">
        <f>G13*Unit_Economics!F13</f>
      </c>
      <c r="H16" s="49">
        <f>H13*Unit_Economics!F13</f>
      </c>
      <c r="I16" s="49">
        <f>I13*Unit_Economics!F13</f>
      </c>
      <c r="J16" s="49">
        <f>J13*Unit_Economics!F13</f>
      </c>
    </row>
    <row r="17" spans="1:10" x14ac:dyDescent="0.25">
      <c r="A17" s="34" t="s">
        <v>237</v>
      </c>
      <c r="B17" s="64">
        <f>B14+B15+B16</f>
      </c>
      <c r="C17" s="64">
        <f>C14+C15+C16</f>
      </c>
      <c r="D17" s="64">
        <f>D14+D15+D16</f>
      </c>
      <c r="E17" s="64">
        <f>E14+E15+E16</f>
      </c>
      <c r="F17" s="64">
        <f>F14+F15+F16</f>
      </c>
      <c r="G17" s="64">
        <f>G14+G15+G16</f>
      </c>
      <c r="H17" s="64">
        <f>H14+H15+H16</f>
      </c>
      <c r="I17" s="64">
        <f>I14+I15+I16</f>
      </c>
      <c r="J17" s="64">
        <f>J14+J15+J16</f>
      </c>
    </row>
    <row r="18" spans="1:10" x14ac:dyDescent="0.25">
      <c r="A18" s="34" t="s">
        <v>238</v>
      </c>
      <c r="B18" s="65">
        <f>B17/Assumptions!B5</f>
      </c>
      <c r="C18" s="65">
        <f>C17/Assumptions!B5</f>
      </c>
      <c r="D18" s="65">
        <f>D17/Assumptions!B5</f>
      </c>
      <c r="E18" s="65">
        <f>E17/Assumptions!B5</f>
      </c>
      <c r="F18" s="65">
        <f>F17/Assumptions!B5</f>
      </c>
      <c r="G18" s="65">
        <f>G17/Assumptions!B5</f>
      </c>
      <c r="H18" s="65">
        <f>H17/Assumptions!B5</f>
      </c>
      <c r="I18" s="65">
        <f>I17/Assumptions!B5</f>
      </c>
      <c r="J18" s="65">
        <f>J17/Assumptions!B5</f>
      </c>
    </row>
    <row r="19" spans="1:10" x14ac:dyDescent="0.25">
      <c r="A19" s="17" t="s">
        <v>239</v>
      </c>
      <c r="B19" s="66">
        <f>B17*12</f>
      </c>
      <c r="C19" s="66">
        <f>C17*12</f>
      </c>
      <c r="D19" s="66">
        <f>D17*12</f>
      </c>
      <c r="E19" s="66">
        <f>E17*12</f>
      </c>
      <c r="F19" s="66">
        <f>F17*12</f>
      </c>
      <c r="G19" s="66">
        <f>G17*12</f>
      </c>
      <c r="H19" s="66">
        <f>H17*12</f>
      </c>
      <c r="I19" s="66">
        <f>I17*12</f>
      </c>
      <c r="J19" s="66">
        <f>J17*12</f>
      </c>
    </row>
    <row r="20" spans="1:10" x14ac:dyDescent="0.25">
      <c r="A20" s="17" t="s">
        <v>240</v>
      </c>
      <c r="B20" s="18">
        <f>B19/Assumptions!B5</f>
      </c>
      <c r="C20" s="18">
        <f>C19/Assumptions!B5</f>
      </c>
      <c r="D20" s="18">
        <f>D19/Assumptions!B5</f>
      </c>
      <c r="E20" s="18">
        <f>E19/Assumptions!B5</f>
      </c>
      <c r="F20" s="18">
        <f>F19/Assumptions!B5</f>
      </c>
      <c r="G20" s="18">
        <f>G19/Assumptions!B5</f>
      </c>
      <c r="H20" s="18">
        <f>H19/Assumptions!B5</f>
      </c>
      <c r="I20" s="18">
        <f>I19/Assumptions!B5</f>
      </c>
      <c r="J20" s="18">
        <f>J19/Assumptions!B5</f>
      </c>
    </row>
    <row r="22" spans="1:11" x14ac:dyDescent="0.25">
      <c r="A22" s="3" t="s">
        <v>241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4" t="s">
        <v>100</v>
      </c>
      <c r="B23" s="4" t="s">
        <v>215</v>
      </c>
      <c r="C23" s="4" t="s">
        <v>226</v>
      </c>
      <c r="D23" s="4" t="s">
        <v>216</v>
      </c>
      <c r="E23" s="4" t="s">
        <v>217</v>
      </c>
      <c r="F23" s="4" t="s">
        <v>227</v>
      </c>
      <c r="G23" s="4" t="s">
        <v>218</v>
      </c>
      <c r="H23" s="4" t="s">
        <v>228</v>
      </c>
      <c r="I23" s="4" t="s">
        <v>229</v>
      </c>
      <c r="J23" s="4" t="s">
        <v>230</v>
      </c>
      <c r="K23" s="4" t="s">
        <v>15</v>
      </c>
    </row>
    <row r="24" spans="1:10" x14ac:dyDescent="0.25">
      <c r="A24" s="27" t="s">
        <v>242</v>
      </c>
      <c r="B24" s="46">
        <f>B11*Unit_Economics!C9</f>
      </c>
      <c r="C24" s="46">
        <f>C11*Unit_Economics!C9</f>
      </c>
      <c r="D24" s="46">
        <f>D11*Unit_Economics!C9</f>
      </c>
      <c r="E24" s="46">
        <f>E11*Unit_Economics!C9</f>
      </c>
      <c r="F24" s="46">
        <f>F11*Unit_Economics!C9</f>
      </c>
      <c r="G24" s="46">
        <f>G11*Unit_Economics!C9</f>
      </c>
      <c r="H24" s="46">
        <f>H11*Unit_Economics!C9</f>
      </c>
      <c r="I24" s="46">
        <f>I11*Unit_Economics!C9</f>
      </c>
      <c r="J24" s="46">
        <f>J11*Unit_Economics!C9</f>
      </c>
    </row>
    <row r="25" spans="1:10" x14ac:dyDescent="0.25">
      <c r="A25" s="28" t="s">
        <v>243</v>
      </c>
      <c r="B25" s="49">
        <f>B12*Unit_Economics!E9</f>
      </c>
      <c r="C25" s="49">
        <f>C12*Unit_Economics!E9</f>
      </c>
      <c r="D25" s="49">
        <f>D12*Unit_Economics!E9</f>
      </c>
      <c r="E25" s="49">
        <f>E12*Unit_Economics!E9</f>
      </c>
      <c r="F25" s="49">
        <f>F12*Unit_Economics!E9</f>
      </c>
      <c r="G25" s="49">
        <f>G12*Unit_Economics!E9</f>
      </c>
      <c r="H25" s="49">
        <f>H12*Unit_Economics!E9</f>
      </c>
      <c r="I25" s="49">
        <f>I12*Unit_Economics!E9</f>
      </c>
      <c r="J25" s="49">
        <f>J12*Unit_Economics!E9</f>
      </c>
    </row>
    <row r="26" spans="1:10" x14ac:dyDescent="0.25">
      <c r="A26" s="27" t="s">
        <v>244</v>
      </c>
      <c r="B26" s="46">
        <f>B13*Unit_Economics!G9</f>
      </c>
      <c r="C26" s="46">
        <f>C13*Unit_Economics!G9</f>
      </c>
      <c r="D26" s="46">
        <f>D13*Unit_Economics!G9</f>
      </c>
      <c r="E26" s="46">
        <f>E13*Unit_Economics!G9</f>
      </c>
      <c r="F26" s="46">
        <f>F13*Unit_Economics!G9</f>
      </c>
      <c r="G26" s="46">
        <f>G13*Unit_Economics!G9</f>
      </c>
      <c r="H26" s="46">
        <f>H13*Unit_Economics!G9</f>
      </c>
      <c r="I26" s="46">
        <f>I13*Unit_Economics!G9</f>
      </c>
      <c r="J26" s="46">
        <f>J13*Unit_Economics!G9</f>
      </c>
    </row>
    <row r="27" spans="1:10" x14ac:dyDescent="0.25">
      <c r="A27" s="67" t="s">
        <v>245</v>
      </c>
      <c r="B27" s="68">
        <f>B24+B25+B26</f>
      </c>
      <c r="C27" s="68">
        <f>C24+C25+C26</f>
      </c>
      <c r="D27" s="68">
        <f>D24+D25+D26</f>
      </c>
      <c r="E27" s="68">
        <f>E24+E25+E26</f>
      </c>
      <c r="F27" s="68">
        <f>F24+F25+F26</f>
      </c>
      <c r="G27" s="68">
        <f>G24+G25+G26</f>
      </c>
      <c r="H27" s="68">
        <f>H24+H25+H26</f>
      </c>
      <c r="I27" s="68">
        <f>I24+I25+I26</f>
      </c>
      <c r="J27" s="68">
        <f>J24+J25+J26</f>
      </c>
    </row>
    <row r="29" spans="1:11" x14ac:dyDescent="0.25">
      <c r="A29" s="3" t="s">
        <v>246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4" t="s">
        <v>100</v>
      </c>
      <c r="B30" s="4" t="s">
        <v>215</v>
      </c>
      <c r="C30" s="4" t="s">
        <v>226</v>
      </c>
      <c r="D30" s="4" t="s">
        <v>216</v>
      </c>
      <c r="E30" s="4" t="s">
        <v>217</v>
      </c>
      <c r="F30" s="4" t="s">
        <v>227</v>
      </c>
      <c r="G30" s="4" t="s">
        <v>218</v>
      </c>
      <c r="H30" s="4" t="s">
        <v>228</v>
      </c>
      <c r="I30" s="4" t="s">
        <v>229</v>
      </c>
      <c r="J30" s="4" t="s">
        <v>230</v>
      </c>
      <c r="K30" s="4" t="s">
        <v>15</v>
      </c>
    </row>
    <row r="31" spans="1:10" x14ac:dyDescent="0.25">
      <c r="A31" s="34" t="s">
        <v>247</v>
      </c>
      <c r="B31" s="64">
        <f>B17-B27</f>
      </c>
      <c r="C31" s="64">
        <f>C17-C27</f>
      </c>
      <c r="D31" s="64">
        <f>D17-D27</f>
      </c>
      <c r="E31" s="64">
        <f>E17-E27</f>
      </c>
      <c r="F31" s="64">
        <f>F17-F27</f>
      </c>
      <c r="G31" s="64">
        <f>G17-G27</f>
      </c>
      <c r="H31" s="64">
        <f>H17-H27</f>
      </c>
      <c r="I31" s="64">
        <f>I17-I27</f>
      </c>
      <c r="J31" s="64">
        <f>J17-J27</f>
      </c>
    </row>
    <row r="32" spans="1:10" x14ac:dyDescent="0.25">
      <c r="A32" s="34" t="s">
        <v>205</v>
      </c>
      <c r="B32" s="58">
        <f>IF(B17&gt;0,B31/B17,0)</f>
      </c>
      <c r="C32" s="58">
        <f>IF(C17&gt;0,C31/C17,0)</f>
      </c>
      <c r="D32" s="58">
        <f>IF(D17&gt;0,D31/D17,0)</f>
      </c>
      <c r="E32" s="58">
        <f>IF(E17&gt;0,E31/E17,0)</f>
      </c>
      <c r="F32" s="58">
        <f>IF(F17&gt;0,F31/F17,0)</f>
      </c>
      <c r="G32" s="58">
        <f>IF(G17&gt;0,G31/G17,0)</f>
      </c>
      <c r="H32" s="58">
        <f>IF(H17&gt;0,H31/H17,0)</f>
      </c>
      <c r="I32" s="58">
        <f>IF(I17&gt;0,I31/I17,0)</f>
      </c>
      <c r="J32" s="58">
        <f>IF(J17&gt;0,J31/J17,0)</f>
      </c>
    </row>
  </sheetData>
  <mergeCells count="6">
    <mergeCell ref="A1:K1"/>
    <mergeCell ref="A2:K2"/>
    <mergeCell ref="A3:D3"/>
    <mergeCell ref="A9:K9"/>
    <mergeCell ref="A22:K22"/>
    <mergeCell ref="A29:K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56" customWidth="1"/>
    <col min="3" max="3" width="46" customWidth="1"/>
    <col min="4" max="4" width="38" customWidth="1"/>
  </cols>
  <sheetData>
    <row r="1" ht="36" customHeight="1" spans="1:4" x14ac:dyDescent="0.25">
      <c r="A1" s="1" t="s">
        <v>248</v>
      </c>
      <c r="B1" s="1"/>
      <c r="C1" s="1"/>
      <c r="D1" s="1"/>
    </row>
    <row r="2" spans="1:4" x14ac:dyDescent="0.25">
      <c r="A2" s="2" t="s">
        <v>249</v>
      </c>
      <c r="B2" s="2"/>
      <c r="C2" s="2"/>
      <c r="D2" s="2"/>
    </row>
    <row r="3" spans="1:4" x14ac:dyDescent="0.25">
      <c r="A3" s="4" t="s">
        <v>250</v>
      </c>
      <c r="B3" s="4" t="s">
        <v>251</v>
      </c>
      <c r="C3" s="4" t="s">
        <v>252</v>
      </c>
      <c r="D3" s="4" t="s">
        <v>253</v>
      </c>
    </row>
    <row r="4" ht="44" customHeight="1" spans="1:4" x14ac:dyDescent="0.25">
      <c r="A4" s="69">
        <v>1</v>
      </c>
      <c r="B4" s="70" t="s">
        <v>254</v>
      </c>
      <c r="C4" s="71" t="s">
        <v>255</v>
      </c>
      <c r="D4" s="10" t="s">
        <v>256</v>
      </c>
    </row>
    <row r="5" ht="44" customHeight="1" spans="1:4" x14ac:dyDescent="0.25">
      <c r="A5" s="69">
        <v>2</v>
      </c>
      <c r="B5" s="72" t="s">
        <v>257</v>
      </c>
      <c r="C5" s="73" t="s">
        <v>258</v>
      </c>
      <c r="D5" s="7" t="s">
        <v>259</v>
      </c>
    </row>
    <row r="6" ht="44" customHeight="1" spans="1:4" x14ac:dyDescent="0.25">
      <c r="A6" s="69">
        <v>3</v>
      </c>
      <c r="B6" s="70" t="s">
        <v>260</v>
      </c>
      <c r="C6" s="71" t="s">
        <v>261</v>
      </c>
      <c r="D6" s="10" t="s">
        <v>262</v>
      </c>
    </row>
    <row r="7" ht="44" customHeight="1" spans="1:4" x14ac:dyDescent="0.25">
      <c r="A7" s="69">
        <v>4</v>
      </c>
      <c r="B7" s="72" t="s">
        <v>263</v>
      </c>
      <c r="C7" s="73" t="s">
        <v>264</v>
      </c>
      <c r="D7" s="7" t="s">
        <v>265</v>
      </c>
    </row>
    <row r="8" ht="44" customHeight="1" spans="1:4" x14ac:dyDescent="0.25">
      <c r="A8" s="74">
        <v>5</v>
      </c>
      <c r="B8" s="70" t="s">
        <v>266</v>
      </c>
      <c r="C8" s="71" t="s">
        <v>267</v>
      </c>
      <c r="D8" s="10" t="s">
        <v>268</v>
      </c>
    </row>
    <row r="9" ht="44" customHeight="1" spans="1:4" x14ac:dyDescent="0.25">
      <c r="A9" s="75">
        <v>6</v>
      </c>
      <c r="B9" s="72" t="s">
        <v>269</v>
      </c>
      <c r="C9" s="73" t="s">
        <v>270</v>
      </c>
      <c r="D9" s="7" t="s">
        <v>271</v>
      </c>
    </row>
    <row r="10" ht="44" customHeight="1" spans="1:4" x14ac:dyDescent="0.25">
      <c r="A10" s="74">
        <v>7</v>
      </c>
      <c r="B10" s="70" t="s">
        <v>272</v>
      </c>
      <c r="C10" s="71" t="s">
        <v>273</v>
      </c>
      <c r="D10" s="10" t="s">
        <v>274</v>
      </c>
    </row>
    <row r="11" ht="44" customHeight="1" spans="1:4" x14ac:dyDescent="0.25">
      <c r="A11" s="75">
        <v>8</v>
      </c>
      <c r="B11" s="72" t="s">
        <v>275</v>
      </c>
      <c r="C11" s="73" t="s">
        <v>276</v>
      </c>
      <c r="D11" s="7" t="s">
        <v>277</v>
      </c>
    </row>
    <row r="12" ht="44" customHeight="1" spans="1:4" x14ac:dyDescent="0.25">
      <c r="A12" s="74">
        <v>9</v>
      </c>
      <c r="B12" s="70" t="s">
        <v>278</v>
      </c>
      <c r="C12" s="71" t="s">
        <v>279</v>
      </c>
      <c r="D12" s="10" t="s">
        <v>280</v>
      </c>
    </row>
    <row r="13" ht="44" customHeight="1" spans="1:4" x14ac:dyDescent="0.25">
      <c r="A13" s="75">
        <v>10</v>
      </c>
      <c r="B13" s="72" t="s">
        <v>281</v>
      </c>
      <c r="C13" s="73" t="s">
        <v>282</v>
      </c>
      <c r="D13" s="7" t="s">
        <v>283</v>
      </c>
    </row>
    <row r="14" ht="44" customHeight="1" spans="1:4" x14ac:dyDescent="0.25">
      <c r="A14" s="74">
        <v>11</v>
      </c>
      <c r="B14" s="70" t="s">
        <v>284</v>
      </c>
      <c r="C14" s="71" t="s">
        <v>285</v>
      </c>
      <c r="D14" s="10" t="s">
        <v>286</v>
      </c>
    </row>
    <row r="15" ht="44" customHeight="1" spans="1:4" x14ac:dyDescent="0.25">
      <c r="A15" s="75">
        <v>12</v>
      </c>
      <c r="B15" s="72" t="s">
        <v>287</v>
      </c>
      <c r="C15" s="73" t="s">
        <v>288</v>
      </c>
      <c r="D15" s="7" t="s">
        <v>289</v>
      </c>
    </row>
    <row r="16" ht="44" customHeight="1" spans="1:4" x14ac:dyDescent="0.25">
      <c r="A16" s="74">
        <v>13</v>
      </c>
      <c r="B16" s="70" t="s">
        <v>290</v>
      </c>
      <c r="C16" s="71" t="s">
        <v>291</v>
      </c>
      <c r="D16" s="10" t="s">
        <v>292</v>
      </c>
    </row>
    <row r="17" ht="44" customHeight="1" spans="1:4" x14ac:dyDescent="0.25">
      <c r="A17" s="75">
        <v>14</v>
      </c>
      <c r="B17" s="72" t="s">
        <v>293</v>
      </c>
      <c r="C17" s="73" t="s">
        <v>294</v>
      </c>
      <c r="D17" s="7" t="s">
        <v>295</v>
      </c>
    </row>
    <row r="19" spans="1:4" x14ac:dyDescent="0.25">
      <c r="A19" s="3" t="s">
        <v>296</v>
      </c>
      <c r="B19" s="3"/>
      <c r="C19" s="3"/>
      <c r="D19" s="3"/>
    </row>
    <row r="20" ht="28" customHeight="1" spans="1:4" x14ac:dyDescent="0.25">
      <c r="A20" s="76" t="s">
        <v>297</v>
      </c>
      <c r="B20" s="76"/>
      <c r="C20" s="76"/>
      <c r="D20" s="76"/>
    </row>
    <row r="21" ht="28" customHeight="1" spans="1:4" x14ac:dyDescent="0.25">
      <c r="A21" s="76" t="s">
        <v>298</v>
      </c>
      <c r="B21" s="76"/>
      <c r="C21" s="76"/>
      <c r="D21" s="76"/>
    </row>
    <row r="22" ht="28" customHeight="1" spans="1:4" x14ac:dyDescent="0.25">
      <c r="A22" s="76" t="s">
        <v>299</v>
      </c>
      <c r="B22" s="76"/>
      <c r="C22" s="76"/>
      <c r="D22" s="76"/>
    </row>
    <row r="23" ht="28" customHeight="1" spans="1:4" x14ac:dyDescent="0.25">
      <c r="A23" s="76" t="s">
        <v>300</v>
      </c>
      <c r="B23" s="76"/>
      <c r="C23" s="76"/>
      <c r="D23" s="76"/>
    </row>
  </sheetData>
  <mergeCells count="7">
    <mergeCell ref="A1:D1"/>
    <mergeCell ref="A2:D2"/>
    <mergeCell ref="A19:D19"/>
    <mergeCell ref="A20:D20"/>
    <mergeCell ref="A21:D21"/>
    <mergeCell ref="A22:D22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showGridLines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5" width="28" customWidth="1"/>
  </cols>
  <sheetData>
    <row r="1" ht="44" customHeight="1" spans="1:5" x14ac:dyDescent="0.25">
      <c r="A1" s="77" t="s">
        <v>301</v>
      </c>
      <c r="B1" s="77"/>
      <c r="C1" s="77"/>
      <c r="D1" s="77"/>
      <c r="E1" s="77"/>
    </row>
    <row r="2" spans="1:5" x14ac:dyDescent="0.25">
      <c r="A2" s="78" t="s">
        <v>302</v>
      </c>
      <c r="B2" s="78"/>
      <c r="C2" s="78"/>
      <c r="D2" s="78"/>
      <c r="E2" s="78"/>
    </row>
    <row r="3" spans="1:5" x14ac:dyDescent="0.25">
      <c r="A3" s="3" t="s">
        <v>303</v>
      </c>
      <c r="B3" s="3"/>
      <c r="C3" s="3"/>
      <c r="D3" s="3"/>
      <c r="E3" s="3"/>
    </row>
    <row r="4" spans="1:5" x14ac:dyDescent="0.25">
      <c r="A4" s="4" t="s">
        <v>46</v>
      </c>
      <c r="B4" s="4" t="s">
        <v>165</v>
      </c>
      <c r="C4" s="4" t="s">
        <v>172</v>
      </c>
      <c r="D4" s="4" t="s">
        <v>304</v>
      </c>
      <c r="E4" s="4" t="s">
        <v>205</v>
      </c>
    </row>
    <row r="5" spans="1:5" x14ac:dyDescent="0.25">
      <c r="A5" s="79" t="s">
        <v>64</v>
      </c>
      <c r="B5" s="47">
        <f>Unit_Economics!B13</f>
      </c>
      <c r="C5" s="47">
        <f>Unit_Economics!B16</f>
      </c>
      <c r="D5" s="80">
        <f>Unit_Economics!C9</f>
      </c>
      <c r="E5" s="61">
        <f>Unit_Economics!B14</f>
      </c>
    </row>
    <row r="6" spans="1:5" x14ac:dyDescent="0.25">
      <c r="A6" s="60" t="s">
        <v>66</v>
      </c>
      <c r="B6" s="50">
        <f>Unit_Economics!D13</f>
      </c>
      <c r="C6" s="50">
        <f>Unit_Economics!D16</f>
      </c>
      <c r="D6" s="81">
        <f>Unit_Economics!E9</f>
      </c>
      <c r="E6" s="62">
        <f>Unit_Economics!D14</f>
      </c>
    </row>
    <row r="7" spans="1:5" x14ac:dyDescent="0.25">
      <c r="A7" s="79" t="s">
        <v>68</v>
      </c>
      <c r="B7" s="47">
        <f>Unit_Economics!F13</f>
      </c>
      <c r="C7" s="47">
        <f>Unit_Economics!F16</f>
      </c>
      <c r="D7" s="80">
        <f>Unit_Economics!G9</f>
      </c>
      <c r="E7" s="61">
        <f>Unit_Economics!F14</f>
      </c>
    </row>
    <row r="9" spans="1:5" x14ac:dyDescent="0.25">
      <c r="A9" s="3" t="s">
        <v>305</v>
      </c>
      <c r="B9" s="3"/>
      <c r="C9" s="3"/>
      <c r="D9" s="3"/>
      <c r="E9" s="3"/>
    </row>
    <row r="10" spans="1:5" x14ac:dyDescent="0.25">
      <c r="A10" s="4" t="s">
        <v>306</v>
      </c>
      <c r="B10" s="4" t="s">
        <v>307</v>
      </c>
      <c r="C10" s="4" t="s">
        <v>308</v>
      </c>
      <c r="D10" s="4" t="s">
        <v>309</v>
      </c>
      <c r="E10" s="4" t="s">
        <v>247</v>
      </c>
    </row>
    <row r="11" spans="1:5" x14ac:dyDescent="0.25">
      <c r="A11" s="79" t="s">
        <v>310</v>
      </c>
      <c r="B11" s="47">
        <f>Revenue_Projection!B17</f>
      </c>
      <c r="C11" s="47">
        <f>Revenue_Projection!B19</f>
      </c>
      <c r="D11" s="47">
        <f>Revenue_Projection!B27</f>
      </c>
      <c r="E11" s="47">
        <f>Revenue_Projection!B31</f>
      </c>
    </row>
    <row r="12" spans="1:5" x14ac:dyDescent="0.25">
      <c r="A12" s="60" t="s">
        <v>311</v>
      </c>
      <c r="B12" s="50">
        <f>Revenue_Projection!D17</f>
      </c>
      <c r="C12" s="50">
        <f>Revenue_Projection!D19</f>
      </c>
      <c r="D12" s="50">
        <f>Revenue_Projection!D27</f>
      </c>
      <c r="E12" s="50">
        <f>Revenue_Projection!D31</f>
      </c>
    </row>
    <row r="13" spans="1:5" x14ac:dyDescent="0.25">
      <c r="A13" s="79" t="s">
        <v>312</v>
      </c>
      <c r="B13" s="47">
        <f>Revenue_Projection!E17</f>
      </c>
      <c r="C13" s="47">
        <f>Revenue_Projection!E19</f>
      </c>
      <c r="D13" s="47">
        <f>Revenue_Projection!E27</f>
      </c>
      <c r="E13" s="47">
        <f>Revenue_Projection!E31</f>
      </c>
    </row>
    <row r="14" spans="1:5" x14ac:dyDescent="0.25">
      <c r="A14" s="60" t="s">
        <v>313</v>
      </c>
      <c r="B14" s="50">
        <f>Revenue_Projection!G17</f>
      </c>
      <c r="C14" s="50">
        <f>Revenue_Projection!G19</f>
      </c>
      <c r="D14" s="50">
        <f>Revenue_Projection!G27</f>
      </c>
      <c r="E14" s="50">
        <f>Revenue_Projection!G31</f>
      </c>
    </row>
    <row r="15" spans="1:5" x14ac:dyDescent="0.25">
      <c r="A15" s="79" t="s">
        <v>314</v>
      </c>
      <c r="B15" s="47">
        <f>Revenue_Projection!I17</f>
      </c>
      <c r="C15" s="47">
        <f>Revenue_Projection!I19</f>
      </c>
      <c r="D15" s="47">
        <f>Revenue_Projection!I27</f>
      </c>
      <c r="E15" s="47">
        <f>Revenue_Projection!I31</f>
      </c>
    </row>
    <row r="16" spans="1:5" x14ac:dyDescent="0.25">
      <c r="A16" s="60" t="s">
        <v>315</v>
      </c>
      <c r="B16" s="50">
        <f>Revenue_Projection!J17</f>
      </c>
      <c r="C16" s="50">
        <f>Revenue_Projection!J19</f>
      </c>
      <c r="D16" s="50">
        <f>Revenue_Projection!J27</f>
      </c>
      <c r="E16" s="50">
        <f>Revenue_Projection!J31</f>
      </c>
    </row>
    <row r="18" spans="1:5" x14ac:dyDescent="0.25">
      <c r="A18" s="3" t="s">
        <v>316</v>
      </c>
      <c r="B18" s="3"/>
      <c r="C18" s="3"/>
      <c r="D18" s="3"/>
      <c r="E18" s="3"/>
    </row>
    <row r="19" spans="1:5" x14ac:dyDescent="0.25">
      <c r="A19" s="4" t="s">
        <v>46</v>
      </c>
      <c r="B19" s="4" t="s">
        <v>317</v>
      </c>
      <c r="C19" s="4" t="s">
        <v>318</v>
      </c>
      <c r="D19" s="4" t="s">
        <v>319</v>
      </c>
      <c r="E19" s="4" t="s">
        <v>320</v>
      </c>
    </row>
    <row r="20" spans="1:5" x14ac:dyDescent="0.25">
      <c r="A20" s="27" t="s">
        <v>64</v>
      </c>
      <c r="B20" s="51">
        <f>Token_Costs!C15</f>
      </c>
      <c r="C20" s="51">
        <f>Token_Costs!D15</f>
      </c>
      <c r="D20" s="41">
        <f>Token_Costs!G15</f>
      </c>
      <c r="E20" s="41">
        <f>Token_Costs!H15</f>
      </c>
    </row>
    <row r="21" spans="1:5" x14ac:dyDescent="0.25">
      <c r="A21" s="28" t="s">
        <v>66</v>
      </c>
      <c r="B21" s="52">
        <f>Token_Costs!C30</f>
      </c>
      <c r="C21" s="52">
        <f>Token_Costs!D30</f>
      </c>
      <c r="D21" s="44">
        <f>Token_Costs!G30</f>
      </c>
      <c r="E21" s="44">
        <f>Token_Costs!H30</f>
      </c>
    </row>
    <row r="22" spans="1:5" x14ac:dyDescent="0.25">
      <c r="A22" s="27" t="s">
        <v>68</v>
      </c>
      <c r="B22" s="51">
        <f>Token_Costs!C45</f>
      </c>
      <c r="C22" s="51">
        <f>Token_Costs!D45</f>
      </c>
      <c r="D22" s="41">
        <f>Token_Costs!G45</f>
      </c>
      <c r="E22" s="41">
        <f>Token_Costs!H45</f>
      </c>
    </row>
    <row r="24" spans="1:5" x14ac:dyDescent="0.25">
      <c r="A24" s="3" t="s">
        <v>321</v>
      </c>
      <c r="B24" s="3"/>
      <c r="C24" s="3"/>
      <c r="D24" s="3"/>
      <c r="E24" s="3"/>
    </row>
    <row r="25" spans="1:5" x14ac:dyDescent="0.25">
      <c r="A25" s="4" t="s">
        <v>322</v>
      </c>
      <c r="B25" s="4" t="s">
        <v>323</v>
      </c>
      <c r="C25" s="4" t="s">
        <v>324</v>
      </c>
      <c r="D25" s="4" t="s">
        <v>325</v>
      </c>
      <c r="E25" s="4" t="s">
        <v>15</v>
      </c>
    </row>
    <row r="26" spans="1:5" x14ac:dyDescent="0.25">
      <c r="A26" s="27" t="s">
        <v>310</v>
      </c>
      <c r="B26" s="51">
        <f>Infra_Costs!B14</f>
      </c>
      <c r="C26" s="41">
        <f>Infra_Costs!B14*Assumptions!B5</f>
      </c>
      <c r="D26" s="37">
        <f>Infra_Costs!B10</f>
      </c>
      <c r="E26" s="7" t="s">
        <v>326</v>
      </c>
    </row>
    <row r="27" spans="1:5" x14ac:dyDescent="0.25">
      <c r="A27" s="28" t="s">
        <v>311</v>
      </c>
      <c r="B27" s="52">
        <f>Infra_Costs!C14</f>
      </c>
      <c r="C27" s="44">
        <f>Infra_Costs!C14*Assumptions!B5</f>
      </c>
      <c r="D27" s="38">
        <f>Infra_Costs!C10</f>
      </c>
      <c r="E27" s="7" t="s">
        <v>326</v>
      </c>
    </row>
    <row r="28" spans="1:5" x14ac:dyDescent="0.25">
      <c r="A28" s="27" t="s">
        <v>312</v>
      </c>
      <c r="B28" s="51">
        <f>Infra_Costs!D14</f>
      </c>
      <c r="C28" s="41">
        <f>Infra_Costs!D14*Assumptions!B5</f>
      </c>
      <c r="D28" s="37">
        <f>Infra_Costs!D10</f>
      </c>
      <c r="E28" s="7" t="s">
        <v>326</v>
      </c>
    </row>
    <row r="29" spans="1:5" x14ac:dyDescent="0.25">
      <c r="A29" s="28" t="s">
        <v>313</v>
      </c>
      <c r="B29" s="52">
        <f>Infra_Costs!E14</f>
      </c>
      <c r="C29" s="44">
        <f>Infra_Costs!E14*Assumptions!B5</f>
      </c>
      <c r="D29" s="38">
        <f>Infra_Costs!E10</f>
      </c>
      <c r="E29" s="7" t="s">
        <v>326</v>
      </c>
    </row>
  </sheetData>
  <mergeCells count="6">
    <mergeCell ref="A1:E1"/>
    <mergeCell ref="A2:E2"/>
    <mergeCell ref="A3:E3"/>
    <mergeCell ref="A9:E9"/>
    <mergeCell ref="A18:E18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Token_Costs</vt:lpstr>
      <vt:lpstr>Infra_Costs</vt:lpstr>
      <vt:lpstr>Stripe_Costs</vt:lpstr>
      <vt:lpstr>Unit_Economics</vt:lpstr>
      <vt:lpstr>Revenue_Projection</vt:lpstr>
      <vt:lpstr>Recalc_Guide</vt:lpstr>
      <vt:lpstr>Summary_Dashboard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Shape Certo</dc:creator>
  <dc:title/>
  <dc:subject/>
  <dc:description/>
  <cp:keywords/>
  <cp:category/>
  <cp:lastModifiedBy>Claude Code</cp:lastModifiedBy>
  <dcterms:created xsi:type="dcterms:W3CDTF">2026-05-02T21:58:26Z</dcterms:created>
  <dcterms:modified xsi:type="dcterms:W3CDTF">2026-05-02T21:58:26Z</dcterms:modified>
</cp:coreProperties>
</file>